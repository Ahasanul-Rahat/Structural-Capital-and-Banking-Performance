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cb2ecf7911c8c8/Desktop/4th Year 2nd Semester/Internship Report/Data Analysis/"/>
    </mc:Choice>
  </mc:AlternateContent>
  <xr:revisionPtr revIDLastSave="39" documentId="13_ncr:1_{77C9FA9F-1B37-42F4-A1C3-64028EF8C5A0}" xr6:coauthVersionLast="47" xr6:coauthVersionMax="47" xr10:uidLastSave="{C98957BB-2724-432F-A7D4-ABDA4870695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F6" i="1"/>
  <c r="G10" i="1"/>
  <c r="G9" i="1"/>
  <c r="G8" i="1"/>
  <c r="G7" i="1"/>
  <c r="G6" i="1"/>
  <c r="G5" i="1"/>
  <c r="G4" i="1"/>
  <c r="G3" i="1"/>
  <c r="F4" i="1"/>
  <c r="F5" i="1"/>
  <c r="F7" i="1"/>
  <c r="F8" i="1"/>
  <c r="F9" i="1"/>
  <c r="F10" i="1"/>
  <c r="F3" i="1"/>
  <c r="B4" i="1"/>
  <c r="B5" i="1"/>
  <c r="B6" i="1"/>
  <c r="B7" i="1"/>
  <c r="B8" i="1"/>
  <c r="B9" i="1"/>
  <c r="B10" i="1"/>
  <c r="B3" i="1"/>
</calcChain>
</file>

<file path=xl/sharedStrings.xml><?xml version="1.0" encoding="utf-8"?>
<sst xmlns="http://schemas.openxmlformats.org/spreadsheetml/2006/main" count="134" uniqueCount="59">
  <si>
    <t>Year</t>
  </si>
  <si>
    <t>Bank Size (ln Total Assets)</t>
  </si>
  <si>
    <t>Leverage (Liabilities/Assets)</t>
  </si>
  <si>
    <t>HC (Personnel Expenses)</t>
  </si>
  <si>
    <t>SCE (SC/VA)</t>
  </si>
  <si>
    <t>HCE (VA/HC)</t>
  </si>
  <si>
    <t>CEE (VA/Equity)</t>
  </si>
  <si>
    <t>Non-Interest Income</t>
  </si>
  <si>
    <t>Net Interest Income</t>
  </si>
  <si>
    <t>Total Non-Interest Expense</t>
  </si>
  <si>
    <t>Operating Profit (OP)</t>
  </si>
  <si>
    <t>Value Added (VA)</t>
  </si>
  <si>
    <t>Structural Capital (SC)</t>
  </si>
  <si>
    <t>20,038 (VA – HC)</t>
  </si>
  <si>
    <t>Non-Interest Income and Operating Profit (VA components)</t>
  </si>
  <si>
    <t>Personnel Expenses (HC)</t>
  </si>
  <si>
    <t>Depreciation/Amortization</t>
  </si>
  <si>
    <t>Human Capital (Personnel Expenses) and Depreciation (million BDT)</t>
  </si>
  <si>
    <t>Total Assets</t>
  </si>
  <si>
    <t>Total Liabilities</t>
  </si>
  <si>
    <t>ln(Assets)</t>
  </si>
  <si>
    <t>Bank Size (ln Assets)</t>
  </si>
  <si>
    <t>Total Assets and Liabilities (million BDT)</t>
  </si>
  <si>
    <t>Leverage</t>
  </si>
  <si>
    <t>Leverage (Total Liabilities ÷ Total Assets)</t>
  </si>
  <si>
    <t>GDP Growth (%)</t>
  </si>
  <si>
    <t>Inflation (CPI, %)</t>
  </si>
  <si>
    <t>Bangladesh Macroeconomic Indicators (2015–2023)</t>
  </si>
  <si>
    <t>Efficiency Ratios</t>
  </si>
  <si>
    <t>ROA (%)</t>
  </si>
  <si>
    <t>ROE (%)</t>
  </si>
  <si>
    <t>NIM (%)</t>
  </si>
  <si>
    <t>TOQ</t>
  </si>
  <si>
    <t>Metric (Unit)</t>
  </si>
  <si>
    <t>2020</t>
  </si>
  <si>
    <t>2021</t>
  </si>
  <si>
    <t>2022</t>
  </si>
  <si>
    <t>2023</t>
  </si>
  <si>
    <t>Net Profit After Tax (BDT million)</t>
  </si>
  <si>
    <t>Market Value of Equity (BDT billion)</t>
  </si>
  <si>
    <t>Required Information</t>
  </si>
  <si>
    <t>Shareholders’ Equity (BDT million)</t>
  </si>
  <si>
    <t>Interest Income (BDT million)</t>
  </si>
  <si>
    <t>Interest Expense (BDT million)</t>
  </si>
  <si>
    <t>Interest-Earning Assets (BDT million)</t>
  </si>
  <si>
    <t>Non-Interest Earning Assets (BDT million)</t>
  </si>
  <si>
    <t>Structural Capital
(SC= VA-HC)</t>
  </si>
  <si>
    <t>Bank Size</t>
  </si>
  <si>
    <t>SCE</t>
  </si>
  <si>
    <t>HCE</t>
  </si>
  <si>
    <t>CEE</t>
  </si>
  <si>
    <t>GDP Growth</t>
  </si>
  <si>
    <t>Inflation</t>
  </si>
  <si>
    <t>Correlation Matrix</t>
  </si>
  <si>
    <t>Correlation</t>
  </si>
  <si>
    <t>Bank size</t>
  </si>
  <si>
    <t>NIM</t>
  </si>
  <si>
    <t>ROA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</si>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</sst>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0.000"/>
    <numFmt numFmtId="166" formatCode="_(* #,##0_);_(* \(#,##0\);_(* &quot;-&quot;??_);_(@_)"/>
    <numFmt numFmtId="167" formatCode="0.00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DD6E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1" applyNumberFormat="1" applyFont="1" applyFill="1" applyBorder="1" applyAlignment="1">
      <alignment horizontal="right" vertical="center" wrapText="1"/>
    </xf>
    <xf numFmtId="166" fontId="0" fillId="0" borderId="0" xfId="1" applyNumberFormat="1" applyFont="1" applyAlignment="1">
      <alignment horizontal="right" vertical="center" wrapText="1"/>
    </xf>
    <xf numFmtId="166" fontId="0" fillId="0" borderId="0" xfId="1" applyNumberFormat="1" applyFont="1"/>
    <xf numFmtId="166" fontId="0" fillId="0" borderId="0" xfId="1" applyNumberFormat="1" applyFon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" fontId="0" fillId="0" borderId="0" xfId="0" applyNumberFormat="1"/>
    <xf numFmtId="1" fontId="0" fillId="0" borderId="0" xfId="0" applyNumberFormat="1" applyAlignment="1">
      <alignment horizontal="right" vertical="center" wrapText="1"/>
    </xf>
    <xf numFmtId="10" fontId="0" fillId="0" borderId="0" xfId="2" applyNumberFormat="1" applyFont="1"/>
    <xf numFmtId="10" fontId="0" fillId="0" borderId="0" xfId="2" applyNumberFormat="1" applyFont="1" applyAlignment="1">
      <alignment horizontal="right" vertical="center" wrapText="1"/>
    </xf>
    <xf numFmtId="10" fontId="0" fillId="0" borderId="0" xfId="0" applyNumberFormat="1"/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167" fontId="5" fillId="4" borderId="1" xfId="2" applyNumberFormat="1" applyFont="1" applyFill="1" applyBorder="1" applyAlignment="1">
      <alignment horizontal="center" vertical="top"/>
    </xf>
    <xf numFmtId="167" fontId="0" fillId="0" borderId="0" xfId="2" applyNumberFormat="1" applyFont="1" applyAlignment="1">
      <alignment horizontal="right" vertical="center" wrapText="1"/>
    </xf>
    <xf numFmtId="167" fontId="0" fillId="0" borderId="0" xfId="2" applyNumberFormat="1" applyFont="1"/>
    <xf numFmtId="167" fontId="5" fillId="4" borderId="0" xfId="2" applyNumberFormat="1" applyFont="1" applyFill="1" applyAlignment="1">
      <alignment horizontal="right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6" fillId="5" borderId="0" xfId="0" applyFont="1" applyFill="1" applyAlignment="1">
      <alignment vertical="center"/>
    </xf>
    <xf numFmtId="0" fontId="7" fillId="0" borderId="0" xfId="0" applyFont="1" applyAlignment="1">
      <alignment horizontal="right" vertical="center"/>
    </xf>
    <xf numFmtId="0" fontId="0" fillId="0" borderId="3" xfId="0" applyBorder="1"/>
    <xf numFmtId="0" fontId="9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4">
    <dxf>
      <numFmt numFmtId="167" formatCode="0.000%"/>
      <alignment horizontal="right" vertical="center" textRotation="0" wrapText="1" indent="0" justifyLastLine="0" shrinkToFit="0" readingOrder="0"/>
    </dxf>
    <dxf>
      <numFmt numFmtId="167" formatCode="0.000%"/>
      <alignment horizontal="right" vertical="center" textRotation="0" wrapText="1" indent="0" justifyLastLine="0" shrinkToFit="0" readingOrder="0"/>
    </dxf>
    <dxf>
      <numFmt numFmtId="164" formatCode="0.0000"/>
    </dxf>
    <dxf>
      <numFmt numFmtId="167" formatCode="0.000%"/>
      <alignment horizontal="right" vertical="center" textRotation="0" wrapText="1" indent="0" justifyLastLine="0" shrinkToFit="0" readingOrder="0"/>
    </dxf>
    <dxf>
      <numFmt numFmtId="167" formatCode="0.000%"/>
      <alignment horizontal="right" vertical="center" textRotation="0" wrapText="1" indent="0" justifyLastLine="0" shrinkToFit="0" readingOrder="0"/>
    </dxf>
    <dxf>
      <numFmt numFmtId="167" formatCode="0.000%"/>
      <alignment horizontal="right" vertical="center" textRotation="0" wrapText="1" indent="0" justifyLastLine="0" shrinkToFit="0" readingOrder="0"/>
    </dxf>
    <dxf>
      <numFmt numFmtId="164" formatCode="0.0000"/>
      <alignment horizontal="right" vertical="center" textRotation="0" wrapText="1" indent="0" justifyLastLine="0" shrinkToFit="0" readingOrder="0"/>
    </dxf>
    <dxf>
      <numFmt numFmtId="164" formatCode="0.0000"/>
      <alignment horizontal="right" vertical="center" textRotation="0" wrapText="1" indent="0" justifyLastLine="0" shrinkToFit="0" readingOrder="0"/>
    </dxf>
    <dxf>
      <numFmt numFmtId="164" formatCode="0.0000"/>
      <alignment horizontal="right" vertical="center" textRotation="0" wrapText="1" indent="0" justifyLastLine="0" shrinkToFit="0" readingOrder="0"/>
    </dxf>
    <dxf>
      <numFmt numFmtId="164" formatCode="0.0000"/>
      <alignment horizontal="right" vertical="center" textRotation="0" wrapText="1" indent="0" justifyLastLine="0" shrinkToFit="0" readingOrder="0"/>
    </dxf>
    <dxf>
      <numFmt numFmtId="164" formatCode="0.00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Trends in VAIC Components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Sheet8!$D$1</c:f>
              <c:strCache>
                <c:ptCount val="1"/>
                <c:pt idx="0">
                  <c:v>SCE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Sheet8!$D$2:$D$9</c:f>
              <c:numCache>
                <c:formatCode>0.0000</c:formatCode>
                <c:ptCount val="8"/>
                <c:pt idx="0">
                  <c:v>0.68925619834710738</c:v>
                </c:pt>
                <c:pt idx="1">
                  <c:v>0.70879786718371307</c:v>
                </c:pt>
                <c:pt idx="2">
                  <c:v>0.73566692667706712</c:v>
                </c:pt>
                <c:pt idx="3">
                  <c:v>0.72652689152233363</c:v>
                </c:pt>
                <c:pt idx="4">
                  <c:v>0.51913147093869982</c:v>
                </c:pt>
                <c:pt idx="5">
                  <c:v>0.57795442501324856</c:v>
                </c:pt>
                <c:pt idx="6">
                  <c:v>0.64622300714457737</c:v>
                </c:pt>
                <c:pt idx="7">
                  <c:v>0.63664133512144239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0-42D8-B953-61FF7423C064}"/>
            </c:ext>
          </c:extLst>
        </c:ser>
        <c:ser>
          <c:idx val="1"/>
          <c:order val="1"/>
          <c:tx>
            <c:strRef>
              <c:f>Sheet8!$E$1</c:f>
              <c:strCache>
                <c:ptCount val="1"/>
                <c:pt idx="0">
                  <c:v>HCE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Sheet8!$E$2:$E$9</c:f>
              <c:numCache>
                <c:formatCode>0.0000</c:formatCode>
                <c:ptCount val="8"/>
                <c:pt idx="0">
                  <c:v>3.2180851063829787</c:v>
                </c:pt>
                <c:pt idx="1">
                  <c:v>3.4354704412989174</c:v>
                </c:pt>
                <c:pt idx="2">
                  <c:v>3.7831058649944671</c:v>
                </c:pt>
                <c:pt idx="3">
                  <c:v>3.6566666666666667</c:v>
                </c:pt>
                <c:pt idx="4">
                  <c:v>2.079570484581498</c:v>
                </c:pt>
                <c:pt idx="5">
                  <c:v>2.3694123556002009</c:v>
                </c:pt>
                <c:pt idx="6">
                  <c:v>2.8266394372589061</c:v>
                </c:pt>
                <c:pt idx="7">
                  <c:v>2.7521017018659011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0-42D8-B953-61FF7423C064}"/>
            </c:ext>
          </c:extLst>
        </c:ser>
        <c:ser>
          <c:idx val="2"/>
          <c:order val="2"/>
          <c:tx>
            <c:strRef>
              <c:f>Sheet8!$F$1</c:f>
              <c:strCache>
                <c:ptCount val="1"/>
                <c:pt idx="0">
                  <c:v>CEE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Sheet8!$F$2:$F$9</c:f>
              <c:numCache>
                <c:formatCode>0.0000</c:formatCode>
                <c:ptCount val="8"/>
                <c:pt idx="0">
                  <c:v>0.73945813811366878</c:v>
                </c:pt>
                <c:pt idx="1">
                  <c:v>0.70158136371365409</c:v>
                </c:pt>
                <c:pt idx="2">
                  <c:v>0.77234731530988776</c:v>
                </c:pt>
                <c:pt idx="3">
                  <c:v>0.75655172413793104</c:v>
                </c:pt>
                <c:pt idx="4">
                  <c:v>0.44400681911704193</c:v>
                </c:pt>
                <c:pt idx="5">
                  <c:v>0.48003052658356654</c:v>
                </c:pt>
                <c:pt idx="6">
                  <c:v>0.58398574844123574</c:v>
                </c:pt>
                <c:pt idx="7">
                  <c:v>0.55679084045465854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0-42D8-B953-61FF7423C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003552"/>
        <c:axId val="1203001152"/>
      </c:barChart>
      <c:catAx>
        <c:axId val="120300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1152"/>
        <c:crosses val="autoZero"/>
        <c:auto val="1"/>
        <c:lblAlgn val="ctr"/>
        <c:lblOffset val="100"/>
        <c:noMultiLvlLbl val="0"/>
      </c:catAx>
      <c:valAx>
        <c:axId val="1203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SCE and Bank Performance Indicators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Sheet8!$G$1</c:f>
              <c:strCache>
                <c:ptCount val="1"/>
                <c:pt idx="0">
                  <c:v>ROA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xVal>
          <c:yVal>
            <c:numRef>
              <c:f>Sheet8!$G$2:$G$9</c:f>
              <c:numCache>
                <c:formatCode>0.000%</c:formatCode>
                <c:ptCount val="8"/>
                <c:pt idx="0">
                  <c:v>8.8500000000000002E-3</c:v>
                </c:pt>
                <c:pt idx="1">
                  <c:v>1.0800000000000001E-2</c:v>
                </c:pt>
                <c:pt idx="2">
                  <c:v>8.2100000000000003E-3</c:v>
                </c:pt>
                <c:pt idx="3">
                  <c:v>5.5999999999999999E-3</c:v>
                </c:pt>
                <c:pt idx="4">
                  <c:v>3.7000000000000002E-3</c:v>
                </c:pt>
                <c:pt idx="5">
                  <c:v>1.03E-2</c:v>
                </c:pt>
                <c:pt idx="6">
                  <c:v>7.1999999999999998E-3</c:v>
                </c:pt>
                <c:pt idx="7">
                  <c:v>7.9000000000000008E-3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E-4C97-A79E-3A08FF968DF6}"/>
            </c:ext>
          </c:extLst>
        </c:ser>
        <c:ser>
          <c:idx val="1"/>
          <c:order val="1"/>
          <c:tx>
            <c:strRef>
              <c:f>Sheet8!$H$1</c:f>
              <c:strCache>
                <c:ptCount val="1"/>
                <c:pt idx="0">
                  <c:v>ROE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xVal>
          <c:yVal>
            <c:numRef>
              <c:f>Sheet8!$H$2:$H$9</c:f>
              <c:numCache>
                <c:formatCode>0.000%</c:formatCode>
                <c:ptCount val="8"/>
                <c:pt idx="0">
                  <c:v>0.15609999999999999</c:v>
                </c:pt>
                <c:pt idx="1">
                  <c:v>0.1835</c:v>
                </c:pt>
                <c:pt idx="2">
                  <c:v>0.13850000000000001</c:v>
                </c:pt>
                <c:pt idx="3">
                  <c:v>9.0300000000000005E-2</c:v>
                </c:pt>
                <c:pt idx="4">
                  <c:v>5.8299999999999998E-2</c:v>
                </c:pt>
                <c:pt idx="5">
                  <c:v>0.16220000000000001</c:v>
                </c:pt>
                <c:pt idx="6">
                  <c:v>0.11559999999999999</c:v>
                </c:pt>
                <c:pt idx="7">
                  <c:v>0.12590000000000001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9E-4C97-A79E-3A08FF968DF6}"/>
            </c:ext>
          </c:extLst>
        </c:ser>
        <c:ser>
          <c:idx val="2"/>
          <c:order val="2"/>
          <c:tx>
            <c:strRef>
              <c:f>Sheet8!$I$1</c:f>
              <c:strCache>
                <c:ptCount val="1"/>
                <c:pt idx="0">
                  <c:v>NIM 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xVal>
          <c:yVal>
            <c:numRef>
              <c:f>Sheet8!$I$2:$I$9</c:f>
              <c:numCache>
                <c:formatCode>0.000%</c:formatCode>
                <c:ptCount val="8"/>
                <c:pt idx="0">
                  <c:v>2.8299999999999999E-2</c:v>
                </c:pt>
                <c:pt idx="1">
                  <c:v>2.6599999999999999E-2</c:v>
                </c:pt>
                <c:pt idx="2">
                  <c:v>2.7900000000000001E-2</c:v>
                </c:pt>
                <c:pt idx="3">
                  <c:v>2.8400000000000002E-2</c:v>
                </c:pt>
                <c:pt idx="4">
                  <c:v>1.46E-2</c:v>
                </c:pt>
                <c:pt idx="5">
                  <c:v>2.24E-2</c:v>
                </c:pt>
                <c:pt idx="6">
                  <c:v>1.2999999999999999E-2</c:v>
                </c:pt>
                <c:pt idx="7">
                  <c:v>1.9199999999999998E-2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9E-4C97-A79E-3A08FF96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839120"/>
        <c:axId val="1563862640"/>
      </c:scatterChart>
      <c:scatterChart>
        <c:scatterStyle val="smoothMarker"/>
        <c:varyColors val="0"/>
        <c:ser>
          <c:idx val="3"/>
          <c:order val="3"/>
          <c:tx>
            <c:strRef>
              <c:f>Sheet8!$J$1</c:f>
              <c:strCache>
                <c:ptCount val="1"/>
                <c:pt idx="0">
                  <c:v>TOQ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Sheet8!$A$2:$A$9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xVal>
          <c:yVal>
            <c:numRef>
              <c:f>Sheet8!$J$2:$J$9</c:f>
              <c:numCache>
                <c:formatCode>0.0000</c:formatCode>
                <c:ptCount val="8"/>
                <c:pt idx="0">
                  <c:v>0.97</c:v>
                </c:pt>
                <c:pt idx="1">
                  <c:v>0.99</c:v>
                </c:pt>
                <c:pt idx="2">
                  <c:v>1</c:v>
                </c:pt>
                <c:pt idx="3">
                  <c:v>0.99</c:v>
                </c:pt>
                <c:pt idx="4">
                  <c:v>0.79</c:v>
                </c:pt>
                <c:pt idx="5">
                  <c:v>0.98</c:v>
                </c:pt>
                <c:pt idx="6">
                  <c:v>0.74</c:v>
                </c:pt>
                <c:pt idx="7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9E-4C97-A79E-3A08FF96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508912"/>
        <c:axId val="1570512272"/>
      </c:scatterChart>
      <c:valAx>
        <c:axId val="156383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62640"/>
        <c:crosses val="autoZero"/>
        <c:crossBetween val="midCat"/>
      </c:valAx>
      <c:valAx>
        <c:axId val="15638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39120"/>
        <c:crosses val="autoZero"/>
        <c:crossBetween val="midCat"/>
      </c:valAx>
      <c:valAx>
        <c:axId val="1570512272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08912"/>
        <c:crosses val="max"/>
        <c:crossBetween val="midCat"/>
      </c:valAx>
      <c:valAx>
        <c:axId val="157050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0512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3</xdr:col>
      <xdr:colOff>91440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52386-A0A8-0CC6-E901-E059115B2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312420</xdr:colOff>
      <xdr:row>11</xdr:row>
      <xdr:rowOff>163830</xdr:rowOff>
    </xdr:from>
    <xdr:to>
      <xdr:col>10</xdr:col>
      <xdr:colOff>426720</xdr:colOff>
      <xdr:row>29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82D2E6-7AA9-5196-BADE-EEE3B3043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213360</xdr:colOff>
      <xdr:row>1</xdr:row>
      <xdr:rowOff>0</xdr:rowOff>
    </xdr:from>
    <xdr:to>
      <xdr:col>11</xdr:col>
      <xdr:colOff>76200</xdr:colOff>
      <xdr:row>11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207896-0B75-45E8-AC24-E7E968AAFAE3}"/>
            </a:ext>
          </a:extLst>
        </xdr:cNvPr>
        <xdr:cNvSpPr txBox="1"/>
      </xdr:nvSpPr>
      <xdr:spPr>
        <a:xfrm>
          <a:off x="6309360" y="190500"/>
          <a:ext cx="472440" cy="1897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1</a:t>
          </a:r>
        </a:p>
        <a:p>
          <a:pPr algn="ctr"/>
          <a:r>
            <a:rPr lang="en-US" sz="1100"/>
            <a:t>0.7</a:t>
          </a:r>
        </a:p>
        <a:p>
          <a:pPr algn="ctr"/>
          <a:r>
            <a:rPr lang="en-US" sz="1100"/>
            <a:t>0.5</a:t>
          </a:r>
        </a:p>
        <a:p>
          <a:pPr algn="ctr"/>
          <a:r>
            <a:rPr lang="en-US" sz="1100"/>
            <a:t>0.3</a:t>
          </a:r>
        </a:p>
        <a:p>
          <a:pPr algn="ctr"/>
          <a:r>
            <a:rPr lang="en-US" sz="1100"/>
            <a:t>0.2</a:t>
          </a:r>
        </a:p>
        <a:p>
          <a:pPr algn="ctr"/>
          <a:r>
            <a:rPr lang="en-US" sz="1100"/>
            <a:t>0</a:t>
          </a:r>
        </a:p>
        <a:p>
          <a:pPr algn="ctr"/>
          <a:r>
            <a:rPr lang="en-US" sz="1100"/>
            <a:t>-0.9</a:t>
          </a:r>
        </a:p>
        <a:p>
          <a:pPr algn="ctr"/>
          <a:r>
            <a:rPr lang="en-US" sz="1100"/>
            <a:t>-0.6</a:t>
          </a:r>
        </a:p>
        <a:p>
          <a:pPr algn="ctr"/>
          <a:r>
            <a:rPr lang="en-US" sz="1100"/>
            <a:t>-0.4</a:t>
          </a:r>
        </a:p>
        <a:p>
          <a:pPr algn="ctr"/>
          <a:r>
            <a:rPr lang="en-US" sz="1100"/>
            <a:t>-0.2</a:t>
          </a:r>
        </a:p>
        <a:p>
          <a:pPr algn="ctr"/>
          <a:endParaRPr lang="en-US" sz="1100"/>
        </a:p>
      </xdr:txBody>
    </xdr:sp>
    <xdr:clientData/>
  </xdr:twoCellAnchor>
  <xdr:twoCellAnchor>
    <xdr:from>
      <xdr:col>10</xdr:col>
      <xdr:colOff>121920</xdr:colOff>
      <xdr:row>1</xdr:row>
      <xdr:rowOff>7620</xdr:rowOff>
    </xdr:from>
    <xdr:to>
      <xdr:col>10</xdr:col>
      <xdr:colOff>251460</xdr:colOff>
      <xdr:row>11</xdr:row>
      <xdr:rowOff>7620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54A23D0-C61F-4D19-A4B0-5D9B165F70DD}"/>
            </a:ext>
          </a:extLst>
        </xdr:cNvPr>
        <xdr:cNvSpPr/>
      </xdr:nvSpPr>
      <xdr:spPr>
        <a:xfrm>
          <a:off x="6217920" y="198120"/>
          <a:ext cx="129540" cy="1897380"/>
        </a:xfrm>
        <a:prstGeom prst="rect">
          <a:avLst/>
        </a:prstGeom>
        <a:gradFill>
          <a:gsLst>
            <a:gs pos="60000">
              <a:schemeClr val="accent1">
                <a:lumMod val="40000"/>
                <a:lumOff val="60000"/>
              </a:schemeClr>
            </a:gs>
            <a:gs pos="37000">
              <a:srgbClr val="FF9797"/>
            </a:gs>
            <a:gs pos="0">
              <a:srgbClr val="FF505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F6AE4-A38A-4FEE-B216-E98EA00EF3EA}" name="Table1" displayName="Table1" ref="A1:L9" totalsRowShown="0" headerRowDxfId="13" dataDxfId="12">
  <autoFilter ref="A1:L9" xr:uid="{4AAF6AE4-A38A-4FEE-B216-E98EA00EF3EA}"/>
  <sortState xmlns:xlrd2="http://schemas.microsoft.com/office/spreadsheetml/2017/richdata2" ref="A2:L9">
    <sortCondition ref="A1:A9"/>
  </sortState>
  <tableColumns count="12">
    <tableColumn id="1" xr3:uid="{B3898843-9C81-4D3B-880B-5C7843401FEB}" name="Year" dataDxfId="11"/>
    <tableColumn id="2" xr3:uid="{9D729B9B-4519-437B-B05C-5B12DC60E209}" name="Bank Size" dataDxfId="10"/>
    <tableColumn id="3" xr3:uid="{C09EBF57-BD23-4C3A-BA09-3DBCA845F337}" name="Leverage" dataDxfId="9"/>
    <tableColumn id="4" xr3:uid="{9E1FF8CB-AE04-4D5A-B720-5B2396578879}" name="SCE" dataDxfId="8"/>
    <tableColumn id="5" xr3:uid="{0E21B4F9-F14D-412E-95F8-DFF34D9474C9}" name="HCE" dataDxfId="7"/>
    <tableColumn id="6" xr3:uid="{9173F645-E3AD-4143-9C4D-DF2C70286FB1}" name="CEE" dataDxfId="6"/>
    <tableColumn id="7" xr3:uid="{72BCBC9C-178B-4349-BDD7-3DB1DA3CC38A}" name="ROA (%)" dataDxfId="5" dataCellStyle="Percent"/>
    <tableColumn id="8" xr3:uid="{1DE713C9-0D6C-4ABD-B62B-7A4D4BA73F86}" name="ROE (%)" dataDxfId="4" dataCellStyle="Percent"/>
    <tableColumn id="9" xr3:uid="{7DAE40DD-4576-4CDE-9E04-949C2715CC92}" name="NIM (%)" dataDxfId="3" dataCellStyle="Percent"/>
    <tableColumn id="10" xr3:uid="{CA565C0E-7340-41AA-8E2C-FD60ED9E7AAC}" name="TOQ" dataDxfId="2"/>
    <tableColumn id="11" xr3:uid="{8B95A2AA-1DE0-4552-A2BD-56DED308EF1D}" name="GDP Growth" dataDxfId="1" dataCellStyle="Percent"/>
    <tableColumn id="12" xr3:uid="{04C5B257-8D63-48F3-9AFD-C9CAF549BB1E}" name="Inflation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workbookViewId="0">
      <pane xSplit="1" topLeftCell="B1" activePane="topRight" state="frozen"/>
      <selection pane="topRight" activeCell="G2" sqref="G2"/>
    </sheetView>
  </sheetViews>
  <sheetFormatPr defaultRowHeight="14.4" x14ac:dyDescent="0.3"/>
  <cols>
    <col min="1" max="1" width="5" bestFit="1" customWidth="1"/>
    <col min="2" max="2" width="34.33203125" bestFit="1" customWidth="1"/>
    <col min="3" max="3" width="24.5546875" bestFit="1" customWidth="1"/>
    <col min="4" max="4" width="22" bestFit="1" customWidth="1"/>
    <col min="5" max="5" width="16.21875" bestFit="1" customWidth="1"/>
    <col min="6" max="6" width="19.6640625" bestFit="1" customWidth="1"/>
    <col min="7" max="7" width="15.5546875" bestFit="1" customWidth="1"/>
    <col min="8" max="8" width="12" bestFit="1" customWidth="1"/>
    <col min="9" max="9" width="14.88671875" bestFit="1" customWidth="1"/>
    <col min="10" max="10" width="11.109375" bestFit="1" customWidth="1"/>
  </cols>
  <sheetData>
    <row r="1" spans="1:14" ht="18" x14ac:dyDescent="0.35">
      <c r="B1" s="48" t="s">
        <v>28</v>
      </c>
      <c r="C1" s="48"/>
      <c r="D1" s="48"/>
      <c r="E1" s="48"/>
      <c r="F1" s="48"/>
      <c r="G1" s="48"/>
      <c r="H1" s="48"/>
      <c r="I1" s="48"/>
      <c r="J1" s="48"/>
      <c r="K1" s="48"/>
    </row>
    <row r="2" spans="1:14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29</v>
      </c>
      <c r="I2" s="10" t="s">
        <v>30</v>
      </c>
      <c r="J2" s="10" t="s">
        <v>31</v>
      </c>
      <c r="K2" s="10" t="s">
        <v>32</v>
      </c>
    </row>
    <row r="3" spans="1:14" x14ac:dyDescent="0.3">
      <c r="A3">
        <v>2023</v>
      </c>
      <c r="B3" s="20">
        <f t="shared" ref="B3:B10" si="0">LN(B34)</f>
        <v>12.819437709459788</v>
      </c>
      <c r="C3">
        <v>0.93500000000000005</v>
      </c>
      <c r="D3">
        <v>4877</v>
      </c>
      <c r="E3" s="19">
        <f t="shared" ref="E3:E10" si="1">G14/F14</f>
        <v>0.63664133512144239</v>
      </c>
      <c r="F3" s="19">
        <f t="shared" ref="F3:F10" si="2">F14/B24</f>
        <v>2.7521017018659011</v>
      </c>
      <c r="G3" s="18">
        <f>F14/J58</f>
        <v>0.55679084045465854</v>
      </c>
      <c r="H3" s="28">
        <v>7.9000000000000008E-3</v>
      </c>
      <c r="I3" s="28">
        <v>0.12590000000000001</v>
      </c>
      <c r="J3" s="28">
        <v>1.9199999999999998E-2</v>
      </c>
      <c r="K3">
        <v>0.81</v>
      </c>
    </row>
    <row r="4" spans="1:14" x14ac:dyDescent="0.3">
      <c r="A4">
        <v>2022</v>
      </c>
      <c r="B4" s="20">
        <f t="shared" si="0"/>
        <v>12.775771711633636</v>
      </c>
      <c r="C4">
        <v>0.94</v>
      </c>
      <c r="D4">
        <v>4407</v>
      </c>
      <c r="E4" s="19">
        <f t="shared" si="1"/>
        <v>0.64622300714457737</v>
      </c>
      <c r="F4" s="19">
        <f t="shared" si="2"/>
        <v>2.8266394372589061</v>
      </c>
      <c r="G4" s="18">
        <f>F15/I58</f>
        <v>0.58398574844123574</v>
      </c>
      <c r="H4" s="28">
        <v>7.1999999999999998E-3</v>
      </c>
      <c r="I4" s="28">
        <v>0.11559999999999999</v>
      </c>
      <c r="J4" s="28">
        <v>1.2999999999999999E-2</v>
      </c>
      <c r="K4">
        <v>0.74</v>
      </c>
    </row>
    <row r="5" spans="1:14" x14ac:dyDescent="0.3">
      <c r="A5">
        <v>2021</v>
      </c>
      <c r="B5" s="20">
        <f t="shared" si="0"/>
        <v>12.632976296995821</v>
      </c>
      <c r="C5">
        <v>0.93600000000000005</v>
      </c>
      <c r="D5">
        <v>3982</v>
      </c>
      <c r="E5" s="19">
        <f t="shared" si="1"/>
        <v>0.57795442501324856</v>
      </c>
      <c r="F5" s="19">
        <f t="shared" si="2"/>
        <v>2.3694123556002009</v>
      </c>
      <c r="G5" s="18">
        <f>F16/H58</f>
        <v>0.48003052658356654</v>
      </c>
      <c r="H5" s="28">
        <v>1.03E-2</v>
      </c>
      <c r="I5" s="28">
        <v>0.16220000000000001</v>
      </c>
      <c r="J5" s="28">
        <v>2.24E-2</v>
      </c>
      <c r="K5">
        <v>0.98</v>
      </c>
    </row>
    <row r="6" spans="1:14" x14ac:dyDescent="0.3">
      <c r="A6">
        <v>2020</v>
      </c>
      <c r="B6" s="20">
        <f t="shared" si="0"/>
        <v>12.50346615891706</v>
      </c>
      <c r="C6">
        <v>0.93700000000000006</v>
      </c>
      <c r="D6">
        <v>3632</v>
      </c>
      <c r="E6" s="19">
        <f t="shared" si="1"/>
        <v>0.51913147093869982</v>
      </c>
      <c r="F6" s="19">
        <f t="shared" si="2"/>
        <v>2.079570484581498</v>
      </c>
      <c r="G6" s="18">
        <f>F17/G58</f>
        <v>0.44400681911704193</v>
      </c>
      <c r="H6" s="28">
        <v>3.7000000000000002E-3</v>
      </c>
      <c r="I6" s="28">
        <v>5.8299999999999998E-2</v>
      </c>
      <c r="J6" s="28">
        <v>1.46E-2</v>
      </c>
      <c r="K6">
        <v>0.79</v>
      </c>
    </row>
    <row r="7" spans="1:14" x14ac:dyDescent="0.3">
      <c r="A7" s="13">
        <v>2019</v>
      </c>
      <c r="B7" s="20">
        <f t="shared" si="0"/>
        <v>12.456481107992396</v>
      </c>
      <c r="C7" s="3">
        <v>0.94299999999999995</v>
      </c>
      <c r="D7" s="5">
        <v>3276</v>
      </c>
      <c r="E7" s="19">
        <f t="shared" si="1"/>
        <v>0.72652689152233363</v>
      </c>
      <c r="F7" s="19">
        <f t="shared" si="2"/>
        <v>3.6566666666666667</v>
      </c>
      <c r="G7" s="18">
        <f>F18/F58</f>
        <v>0.75655172413793104</v>
      </c>
      <c r="H7" s="29">
        <v>5.5999999999999999E-3</v>
      </c>
      <c r="I7" s="29">
        <v>9.0300000000000005E-2</v>
      </c>
      <c r="J7" s="29">
        <v>2.8400000000000002E-2</v>
      </c>
      <c r="K7">
        <v>0.99</v>
      </c>
    </row>
    <row r="8" spans="1:14" x14ac:dyDescent="0.3">
      <c r="A8" s="13">
        <v>2018</v>
      </c>
      <c r="B8" s="20">
        <f t="shared" si="0"/>
        <v>12.312435159020461</v>
      </c>
      <c r="C8" s="3">
        <v>0.94</v>
      </c>
      <c r="D8" s="5">
        <v>2711</v>
      </c>
      <c r="E8" s="19">
        <f t="shared" si="1"/>
        <v>0.73566692667706712</v>
      </c>
      <c r="F8" s="19">
        <f t="shared" si="2"/>
        <v>3.7831058649944671</v>
      </c>
      <c r="G8" s="18">
        <f>F19/E58</f>
        <v>0.77234731530988776</v>
      </c>
      <c r="H8" s="29">
        <v>8.2100000000000003E-3</v>
      </c>
      <c r="I8" s="29">
        <v>0.13850000000000001</v>
      </c>
      <c r="J8" s="29">
        <v>2.7900000000000001E-2</v>
      </c>
      <c r="K8" s="3">
        <v>1</v>
      </c>
    </row>
    <row r="9" spans="1:14" x14ac:dyDescent="0.3">
      <c r="A9" s="13">
        <v>2017</v>
      </c>
      <c r="B9" s="20">
        <f t="shared" si="0"/>
        <v>12.214804412453621</v>
      </c>
      <c r="C9" s="3">
        <v>0.94099999999999995</v>
      </c>
      <c r="D9" s="5">
        <v>2402</v>
      </c>
      <c r="E9" s="19">
        <f t="shared" si="1"/>
        <v>0.70879786718371307</v>
      </c>
      <c r="F9" s="19">
        <f t="shared" si="2"/>
        <v>3.4354704412989174</v>
      </c>
      <c r="G9" s="18">
        <f>F20/D58</f>
        <v>0.70158136371365409</v>
      </c>
      <c r="H9" s="3">
        <v>1.0800000000000001E-2</v>
      </c>
      <c r="I9" s="3">
        <v>0.1835</v>
      </c>
      <c r="J9" s="29">
        <v>2.6599999999999999E-2</v>
      </c>
      <c r="K9">
        <v>0.99</v>
      </c>
    </row>
    <row r="10" spans="1:14" x14ac:dyDescent="0.3">
      <c r="A10" s="13">
        <v>2016</v>
      </c>
      <c r="B10" s="20">
        <f t="shared" si="0"/>
        <v>12.015946713671976</v>
      </c>
      <c r="C10" s="3">
        <v>0.94099999999999995</v>
      </c>
      <c r="D10" s="5">
        <v>2256</v>
      </c>
      <c r="E10" s="19">
        <f t="shared" si="1"/>
        <v>0.68925619834710738</v>
      </c>
      <c r="F10" s="19">
        <f t="shared" si="2"/>
        <v>3.2180851063829787</v>
      </c>
      <c r="G10" s="18">
        <f>F21/C58</f>
        <v>0.73945813811366878</v>
      </c>
      <c r="H10" s="29">
        <v>8.8500000000000002E-3</v>
      </c>
      <c r="I10" s="29">
        <v>0.15609999999999999</v>
      </c>
      <c r="J10" s="29">
        <v>2.8299999999999999E-2</v>
      </c>
      <c r="K10">
        <v>0.97</v>
      </c>
    </row>
    <row r="12" spans="1:14" ht="18" x14ac:dyDescent="0.35">
      <c r="B12" s="46" t="s">
        <v>14</v>
      </c>
      <c r="C12" s="46"/>
      <c r="D12" s="46"/>
      <c r="E12" s="46"/>
      <c r="F12" s="46"/>
      <c r="G12" s="46"/>
    </row>
    <row r="13" spans="1:14" ht="28.8" x14ac:dyDescent="0.3">
      <c r="A13" s="8" t="s">
        <v>0</v>
      </c>
      <c r="B13" s="7" t="s">
        <v>7</v>
      </c>
      <c r="C13" s="7" t="s">
        <v>8</v>
      </c>
      <c r="D13" s="7" t="s">
        <v>9</v>
      </c>
      <c r="E13" s="7" t="s">
        <v>10</v>
      </c>
      <c r="F13" s="7" t="s">
        <v>11</v>
      </c>
      <c r="G13" s="7" t="s">
        <v>46</v>
      </c>
      <c r="H13" s="12"/>
      <c r="I13" s="12"/>
      <c r="J13" s="12"/>
      <c r="K13" s="12"/>
      <c r="L13" s="12"/>
      <c r="M13" s="12"/>
      <c r="N13" s="12"/>
    </row>
    <row r="14" spans="1:14" x14ac:dyDescent="0.3">
      <c r="A14" s="13">
        <v>2023</v>
      </c>
      <c r="B14" s="24">
        <v>10160</v>
      </c>
      <c r="C14" s="24">
        <v>7250</v>
      </c>
      <c r="D14" s="24">
        <v>9448</v>
      </c>
      <c r="E14" s="24">
        <v>7961</v>
      </c>
      <c r="F14" s="24">
        <v>13422</v>
      </c>
      <c r="G14" s="24">
        <v>8545</v>
      </c>
      <c r="I14" s="14"/>
      <c r="J14" s="14"/>
      <c r="K14" s="14"/>
      <c r="L14" s="14"/>
      <c r="M14" s="14"/>
      <c r="N14" s="14"/>
    </row>
    <row r="15" spans="1:14" x14ac:dyDescent="0.3">
      <c r="A15" s="13">
        <v>2022</v>
      </c>
      <c r="B15" s="24">
        <v>11980</v>
      </c>
      <c r="C15" s="24">
        <v>3870</v>
      </c>
      <c r="D15" s="24">
        <v>8505</v>
      </c>
      <c r="E15" s="24">
        <v>7342</v>
      </c>
      <c r="F15" s="24">
        <v>12457</v>
      </c>
      <c r="G15" s="24">
        <v>8050</v>
      </c>
      <c r="I15" s="14"/>
      <c r="J15" s="14"/>
      <c r="K15" s="14"/>
      <c r="L15" s="14"/>
      <c r="M15" s="14"/>
      <c r="N15" s="14"/>
    </row>
    <row r="16" spans="1:14" x14ac:dyDescent="0.3">
      <c r="A16" s="13">
        <v>2021</v>
      </c>
      <c r="B16" s="24">
        <v>6520</v>
      </c>
      <c r="C16" s="24">
        <v>5750</v>
      </c>
      <c r="D16" s="24">
        <v>7503</v>
      </c>
      <c r="E16" s="24">
        <v>4761</v>
      </c>
      <c r="F16" s="24">
        <v>9435</v>
      </c>
      <c r="G16" s="24">
        <v>5453</v>
      </c>
      <c r="I16" s="14"/>
      <c r="J16" s="14"/>
      <c r="K16" s="14"/>
      <c r="L16" s="14"/>
      <c r="M16" s="14"/>
      <c r="N16" s="14"/>
    </row>
    <row r="17" spans="1:14" x14ac:dyDescent="0.3">
      <c r="A17" s="13">
        <v>2020</v>
      </c>
      <c r="B17" s="24">
        <v>6060</v>
      </c>
      <c r="C17" s="24">
        <v>3890</v>
      </c>
      <c r="D17" s="24">
        <v>6605</v>
      </c>
      <c r="E17" s="24">
        <v>3287</v>
      </c>
      <c r="F17" s="24">
        <v>7553</v>
      </c>
      <c r="G17" s="24">
        <v>3921</v>
      </c>
      <c r="I17" s="14"/>
      <c r="J17" s="14"/>
      <c r="K17" s="14"/>
      <c r="L17" s="14"/>
      <c r="M17" s="14"/>
      <c r="N17" s="14"/>
    </row>
    <row r="18" spans="1:14" x14ac:dyDescent="0.3">
      <c r="A18" s="13">
        <v>2019</v>
      </c>
      <c r="B18" s="23">
        <v>5777</v>
      </c>
      <c r="C18" s="23">
        <v>5430</v>
      </c>
      <c r="D18" s="23">
        <v>5967</v>
      </c>
      <c r="E18" s="23">
        <v>5240</v>
      </c>
      <c r="F18" s="22">
        <v>10970</v>
      </c>
      <c r="G18" s="22">
        <v>7970</v>
      </c>
      <c r="I18" s="4"/>
    </row>
    <row r="19" spans="1:14" x14ac:dyDescent="0.3">
      <c r="A19" s="13">
        <v>2018</v>
      </c>
      <c r="B19" s="23">
        <v>4578</v>
      </c>
      <c r="C19" s="23">
        <v>5251</v>
      </c>
      <c r="D19" s="23">
        <v>4945</v>
      </c>
      <c r="E19" s="23">
        <v>4884</v>
      </c>
      <c r="F19" s="22">
        <v>10256</v>
      </c>
      <c r="G19" s="22">
        <v>7545</v>
      </c>
      <c r="I19" s="4"/>
    </row>
    <row r="20" spans="1:14" x14ac:dyDescent="0.3">
      <c r="A20" s="13">
        <v>2017</v>
      </c>
      <c r="B20" s="23">
        <v>4172</v>
      </c>
      <c r="C20" s="23">
        <v>4308</v>
      </c>
      <c r="D20" s="23">
        <v>4564</v>
      </c>
      <c r="E20" s="23">
        <v>3916</v>
      </c>
      <c r="F20" s="22">
        <v>8252</v>
      </c>
      <c r="G20" s="22">
        <v>5849</v>
      </c>
      <c r="I20" s="4"/>
    </row>
    <row r="21" spans="1:14" x14ac:dyDescent="0.3">
      <c r="A21" s="13">
        <v>2016</v>
      </c>
      <c r="B21" s="23">
        <v>3637</v>
      </c>
      <c r="C21" s="23">
        <v>3878</v>
      </c>
      <c r="D21" s="23">
        <v>4107</v>
      </c>
      <c r="E21" s="23">
        <v>3408</v>
      </c>
      <c r="F21" s="22">
        <v>7260</v>
      </c>
      <c r="G21" s="22">
        <v>5004</v>
      </c>
    </row>
    <row r="22" spans="1:14" ht="18" x14ac:dyDescent="0.35">
      <c r="B22" s="46" t="s">
        <v>17</v>
      </c>
      <c r="C22" s="46"/>
      <c r="D22" s="46"/>
      <c r="E22" s="46"/>
    </row>
    <row r="23" spans="1:14" x14ac:dyDescent="0.3">
      <c r="A23" s="8" t="s">
        <v>0</v>
      </c>
      <c r="B23" s="7" t="s">
        <v>15</v>
      </c>
      <c r="C23" s="7" t="s">
        <v>16</v>
      </c>
    </row>
    <row r="24" spans="1:14" x14ac:dyDescent="0.3">
      <c r="A24" s="2">
        <v>2023</v>
      </c>
      <c r="B24" s="5">
        <v>4877</v>
      </c>
      <c r="C24" s="13">
        <v>634</v>
      </c>
    </row>
    <row r="25" spans="1:14" x14ac:dyDescent="0.3">
      <c r="A25" s="2">
        <v>2022</v>
      </c>
      <c r="B25" s="5">
        <v>4407</v>
      </c>
      <c r="C25" s="13">
        <v>692</v>
      </c>
    </row>
    <row r="26" spans="1:14" x14ac:dyDescent="0.3">
      <c r="A26" s="2">
        <v>2021</v>
      </c>
      <c r="B26" s="5">
        <v>3982</v>
      </c>
      <c r="C26" s="13">
        <v>708</v>
      </c>
      <c r="G26" s="11"/>
      <c r="H26" s="11"/>
      <c r="I26" s="11"/>
      <c r="J26" s="11"/>
      <c r="K26" s="11"/>
    </row>
    <row r="27" spans="1:14" x14ac:dyDescent="0.3">
      <c r="A27" s="2">
        <v>2020</v>
      </c>
      <c r="B27" s="5">
        <v>3632</v>
      </c>
      <c r="C27" s="13">
        <v>584</v>
      </c>
    </row>
    <row r="28" spans="1:14" x14ac:dyDescent="0.3">
      <c r="A28" s="2">
        <v>2019</v>
      </c>
      <c r="B28" s="5">
        <v>3000</v>
      </c>
      <c r="C28" s="13">
        <v>632</v>
      </c>
    </row>
    <row r="29" spans="1:14" x14ac:dyDescent="0.3">
      <c r="A29" s="2">
        <v>2018</v>
      </c>
      <c r="B29" s="5">
        <v>2711</v>
      </c>
      <c r="C29" s="13">
        <v>464</v>
      </c>
    </row>
    <row r="30" spans="1:14" x14ac:dyDescent="0.3">
      <c r="A30" s="2">
        <v>2017</v>
      </c>
      <c r="B30" s="5">
        <v>2402</v>
      </c>
      <c r="C30" s="13">
        <v>429</v>
      </c>
    </row>
    <row r="31" spans="1:14" x14ac:dyDescent="0.3">
      <c r="A31" s="2">
        <v>2016</v>
      </c>
      <c r="B31" s="5">
        <v>2256</v>
      </c>
      <c r="C31" s="13">
        <v>390</v>
      </c>
    </row>
    <row r="32" spans="1:14" ht="18" x14ac:dyDescent="0.35">
      <c r="B32" s="46" t="s">
        <v>22</v>
      </c>
      <c r="C32" s="46"/>
      <c r="D32" s="46"/>
      <c r="E32" s="46"/>
    </row>
    <row r="33" spans="1:5" ht="28.8" x14ac:dyDescent="0.3">
      <c r="A33" s="8" t="s">
        <v>0</v>
      </c>
      <c r="B33" s="7" t="s">
        <v>18</v>
      </c>
      <c r="C33" s="7" t="s">
        <v>19</v>
      </c>
      <c r="D33" s="7" t="s">
        <v>20</v>
      </c>
      <c r="E33" s="8" t="s">
        <v>21</v>
      </c>
    </row>
    <row r="34" spans="1:5" x14ac:dyDescent="0.3">
      <c r="A34" s="2">
        <v>2023</v>
      </c>
      <c r="B34" s="5">
        <v>369327</v>
      </c>
      <c r="C34" s="5">
        <v>345222</v>
      </c>
      <c r="D34" s="3">
        <v>12.82</v>
      </c>
      <c r="E34" s="2">
        <v>12.82</v>
      </c>
    </row>
    <row r="35" spans="1:5" x14ac:dyDescent="0.3">
      <c r="A35" s="2">
        <v>2022</v>
      </c>
      <c r="B35" s="5">
        <v>353547</v>
      </c>
      <c r="C35" s="5">
        <v>332216</v>
      </c>
      <c r="D35" s="3">
        <v>12.776</v>
      </c>
      <c r="E35" s="2">
        <v>12.776</v>
      </c>
    </row>
    <row r="36" spans="1:5" x14ac:dyDescent="0.3">
      <c r="A36" s="2">
        <v>2021</v>
      </c>
      <c r="B36" s="5">
        <v>306501</v>
      </c>
      <c r="C36" s="5">
        <v>286846</v>
      </c>
      <c r="D36" s="3">
        <v>12.63</v>
      </c>
      <c r="E36" s="2">
        <v>12.63</v>
      </c>
    </row>
    <row r="37" spans="1:5" x14ac:dyDescent="0.3">
      <c r="A37" s="2">
        <v>2020</v>
      </c>
      <c r="B37" s="5">
        <v>269269</v>
      </c>
      <c r="C37" s="5">
        <v>252258</v>
      </c>
      <c r="D37" s="3">
        <v>12.497999999999999</v>
      </c>
      <c r="E37" s="2">
        <v>12.497999999999999</v>
      </c>
    </row>
    <row r="38" spans="1:5" x14ac:dyDescent="0.3">
      <c r="A38" s="2">
        <v>2019</v>
      </c>
      <c r="B38" s="5">
        <v>256910</v>
      </c>
      <c r="C38" s="5">
        <v>240620</v>
      </c>
      <c r="D38" s="3">
        <v>12.46</v>
      </c>
      <c r="E38" s="2">
        <v>12.46</v>
      </c>
    </row>
    <row r="39" spans="1:5" x14ac:dyDescent="0.3">
      <c r="A39" s="2">
        <v>2018</v>
      </c>
      <c r="B39" s="5">
        <v>222445</v>
      </c>
      <c r="C39" s="5">
        <v>209170</v>
      </c>
      <c r="D39" s="3">
        <v>12.31</v>
      </c>
      <c r="E39" s="2">
        <v>12.31</v>
      </c>
    </row>
    <row r="40" spans="1:5" x14ac:dyDescent="0.3">
      <c r="A40" s="2">
        <v>2017</v>
      </c>
      <c r="B40" s="5">
        <v>201754</v>
      </c>
      <c r="C40" s="5">
        <v>189992</v>
      </c>
      <c r="D40" s="3">
        <v>12.21</v>
      </c>
      <c r="E40" s="2">
        <v>12.21</v>
      </c>
    </row>
    <row r="41" spans="1:5" x14ac:dyDescent="0.3">
      <c r="A41" s="2">
        <v>2016</v>
      </c>
      <c r="B41" s="5">
        <v>165371</v>
      </c>
      <c r="C41" s="5">
        <v>155552</v>
      </c>
      <c r="D41" s="3">
        <v>12.016</v>
      </c>
      <c r="E41" s="2">
        <v>12.016</v>
      </c>
    </row>
    <row r="44" spans="1:5" ht="18" x14ac:dyDescent="0.35">
      <c r="B44" s="46" t="s">
        <v>24</v>
      </c>
      <c r="C44" s="49"/>
      <c r="D44" s="49"/>
    </row>
    <row r="45" spans="1:5" x14ac:dyDescent="0.3">
      <c r="A45" s="8" t="s">
        <v>0</v>
      </c>
      <c r="B45" s="7" t="s">
        <v>19</v>
      </c>
      <c r="C45" s="7" t="s">
        <v>18</v>
      </c>
      <c r="D45" s="7" t="s">
        <v>23</v>
      </c>
    </row>
    <row r="46" spans="1:5" x14ac:dyDescent="0.3">
      <c r="A46" s="2">
        <v>2023</v>
      </c>
      <c r="B46" s="5">
        <v>345222</v>
      </c>
      <c r="C46" s="5">
        <v>369327</v>
      </c>
      <c r="D46" s="3">
        <v>0.93500000000000005</v>
      </c>
    </row>
    <row r="47" spans="1:5" x14ac:dyDescent="0.3">
      <c r="A47" s="2">
        <v>2022</v>
      </c>
      <c r="B47" s="5">
        <v>332216</v>
      </c>
      <c r="C47" s="5">
        <v>353547</v>
      </c>
      <c r="D47" s="3">
        <v>0.94</v>
      </c>
    </row>
    <row r="48" spans="1:5" x14ac:dyDescent="0.3">
      <c r="A48" s="2">
        <v>2021</v>
      </c>
      <c r="B48" s="5">
        <v>286846</v>
      </c>
      <c r="C48" s="5">
        <v>306501</v>
      </c>
      <c r="D48" s="3">
        <v>0.93600000000000005</v>
      </c>
    </row>
    <row r="49" spans="1:10" x14ac:dyDescent="0.3">
      <c r="A49" s="2">
        <v>2020</v>
      </c>
      <c r="B49" s="5">
        <v>252258</v>
      </c>
      <c r="C49" s="5">
        <v>269269</v>
      </c>
      <c r="D49" s="3">
        <v>0.93700000000000006</v>
      </c>
    </row>
    <row r="50" spans="1:10" x14ac:dyDescent="0.3">
      <c r="A50" s="2">
        <v>2019</v>
      </c>
      <c r="B50" s="5">
        <v>240620</v>
      </c>
      <c r="C50" s="5">
        <v>256910</v>
      </c>
      <c r="D50" s="3">
        <v>0.94099999999999995</v>
      </c>
      <c r="E50" s="5"/>
    </row>
    <row r="51" spans="1:10" x14ac:dyDescent="0.3">
      <c r="A51" s="2">
        <v>2018</v>
      </c>
      <c r="B51" s="5">
        <v>209170</v>
      </c>
      <c r="C51" s="5">
        <v>222445</v>
      </c>
      <c r="D51" s="3">
        <v>0.94099999999999995</v>
      </c>
      <c r="E51" s="5"/>
    </row>
    <row r="52" spans="1:10" x14ac:dyDescent="0.3">
      <c r="A52" s="2">
        <v>2017</v>
      </c>
      <c r="B52" s="5">
        <v>189992</v>
      </c>
      <c r="C52" s="5">
        <v>201754</v>
      </c>
      <c r="D52" s="3">
        <v>0.94</v>
      </c>
      <c r="E52" s="5"/>
    </row>
    <row r="53" spans="1:10" x14ac:dyDescent="0.3">
      <c r="A53" s="2">
        <v>2016</v>
      </c>
      <c r="B53" s="5">
        <v>155552</v>
      </c>
      <c r="C53" s="5">
        <v>165371</v>
      </c>
      <c r="D53" s="3">
        <v>0.94299999999999995</v>
      </c>
      <c r="E53" s="5"/>
    </row>
    <row r="54" spans="1:10" x14ac:dyDescent="0.3">
      <c r="A54" s="2"/>
      <c r="B54" s="5"/>
      <c r="C54" s="5"/>
      <c r="D54" s="3"/>
    </row>
    <row r="55" spans="1:10" ht="18" x14ac:dyDescent="0.35">
      <c r="A55" s="2"/>
      <c r="B55" s="48" t="s">
        <v>40</v>
      </c>
      <c r="C55" s="48"/>
      <c r="D55" s="48"/>
      <c r="E55" s="48"/>
      <c r="F55" s="48"/>
    </row>
    <row r="56" spans="1:10" x14ac:dyDescent="0.3">
      <c r="B56" s="1" t="s">
        <v>33</v>
      </c>
      <c r="C56" s="16">
        <v>2016</v>
      </c>
      <c r="D56" s="16">
        <v>2017</v>
      </c>
      <c r="E56" s="17">
        <v>2018</v>
      </c>
      <c r="F56" s="17">
        <v>2019</v>
      </c>
      <c r="G56" s="1" t="s">
        <v>34</v>
      </c>
      <c r="H56" s="1" t="s">
        <v>35</v>
      </c>
      <c r="I56" s="1" t="s">
        <v>36</v>
      </c>
      <c r="J56" s="1" t="s">
        <v>37</v>
      </c>
    </row>
    <row r="57" spans="1:10" x14ac:dyDescent="0.3">
      <c r="B57" t="s">
        <v>38</v>
      </c>
      <c r="C57" s="21">
        <v>1464</v>
      </c>
      <c r="D57" s="22">
        <v>1980</v>
      </c>
      <c r="E57" s="23">
        <v>1734</v>
      </c>
      <c r="F57" s="23">
        <v>1338</v>
      </c>
      <c r="G57" s="23">
        <v>970</v>
      </c>
      <c r="H57" s="23">
        <v>2973</v>
      </c>
      <c r="I57" s="23">
        <v>2369</v>
      </c>
      <c r="J57" s="23">
        <v>2860</v>
      </c>
    </row>
    <row r="58" spans="1:10" x14ac:dyDescent="0.3">
      <c r="B58" t="s">
        <v>41</v>
      </c>
      <c r="C58" s="21">
        <v>9818</v>
      </c>
      <c r="D58" s="22">
        <v>11762</v>
      </c>
      <c r="E58" s="23">
        <v>13279</v>
      </c>
      <c r="F58" s="23">
        <v>14500</v>
      </c>
      <c r="G58" s="23">
        <v>17011</v>
      </c>
      <c r="H58" s="23">
        <v>19655</v>
      </c>
      <c r="I58" s="23">
        <v>21331</v>
      </c>
      <c r="J58" s="23">
        <v>24106</v>
      </c>
    </row>
    <row r="59" spans="1:10" x14ac:dyDescent="0.3">
      <c r="B59" t="s">
        <v>42</v>
      </c>
      <c r="C59" s="21">
        <v>11388</v>
      </c>
      <c r="D59" s="22">
        <v>12161</v>
      </c>
      <c r="E59" s="23">
        <v>15690</v>
      </c>
      <c r="F59" s="23">
        <v>18394</v>
      </c>
      <c r="G59" s="23">
        <v>15.565</v>
      </c>
      <c r="H59" s="23">
        <v>14.561999999999999</v>
      </c>
      <c r="I59" s="23">
        <v>16.07</v>
      </c>
      <c r="J59" s="23">
        <v>20.73</v>
      </c>
    </row>
    <row r="60" spans="1:10" x14ac:dyDescent="0.3">
      <c r="B60" t="s">
        <v>43</v>
      </c>
      <c r="C60" s="21">
        <v>7506</v>
      </c>
      <c r="D60" s="22">
        <v>7853</v>
      </c>
      <c r="E60" s="23">
        <v>10436</v>
      </c>
      <c r="F60" s="23">
        <v>12964</v>
      </c>
      <c r="G60" s="23">
        <v>11623</v>
      </c>
      <c r="H60" s="23">
        <v>8815</v>
      </c>
      <c r="I60" s="23">
        <v>12197</v>
      </c>
      <c r="J60" s="23">
        <v>13474</v>
      </c>
    </row>
    <row r="61" spans="1:10" x14ac:dyDescent="0.3">
      <c r="B61" t="s">
        <v>44</v>
      </c>
      <c r="C61" s="21">
        <v>145456</v>
      </c>
      <c r="D61" s="22">
        <v>178201</v>
      </c>
      <c r="E61" s="23">
        <v>302386</v>
      </c>
      <c r="F61" s="23">
        <v>378853</v>
      </c>
      <c r="G61" s="23">
        <v>255231</v>
      </c>
      <c r="H61" s="23">
        <v>294183</v>
      </c>
      <c r="I61" s="23">
        <v>328898</v>
      </c>
      <c r="J61" s="23">
        <v>354962</v>
      </c>
    </row>
    <row r="62" spans="1:10" x14ac:dyDescent="0.3">
      <c r="B62" t="s">
        <v>45</v>
      </c>
      <c r="C62" s="21">
        <v>19914</v>
      </c>
      <c r="D62" s="22">
        <v>23553</v>
      </c>
      <c r="E62" s="23">
        <v>61700</v>
      </c>
      <c r="F62" s="23">
        <v>75458</v>
      </c>
      <c r="G62" s="23">
        <v>14038</v>
      </c>
      <c r="H62" s="23">
        <v>12318</v>
      </c>
      <c r="I62" s="23">
        <v>24649</v>
      </c>
      <c r="J62" s="23">
        <v>14365</v>
      </c>
    </row>
    <row r="63" spans="1:10" x14ac:dyDescent="0.3">
      <c r="B63" t="s">
        <v>39</v>
      </c>
      <c r="C63">
        <v>4.9390000000000001</v>
      </c>
      <c r="D63">
        <v>10.1</v>
      </c>
      <c r="E63">
        <v>12.795</v>
      </c>
      <c r="F63">
        <v>13.170999999999999</v>
      </c>
      <c r="G63" s="20">
        <v>17.8</v>
      </c>
      <c r="H63" s="20">
        <v>15.92</v>
      </c>
      <c r="I63" s="20">
        <v>14.93</v>
      </c>
      <c r="J63" s="20">
        <v>15.24</v>
      </c>
    </row>
    <row r="65" spans="1:4" ht="18" x14ac:dyDescent="0.35">
      <c r="B65" s="46" t="s">
        <v>27</v>
      </c>
      <c r="C65" s="47"/>
      <c r="D65" s="47"/>
    </row>
    <row r="66" spans="1:4" x14ac:dyDescent="0.3">
      <c r="A66" s="7" t="s">
        <v>0</v>
      </c>
      <c r="B66" s="7" t="s">
        <v>25</v>
      </c>
      <c r="C66" s="7" t="s">
        <v>26</v>
      </c>
    </row>
    <row r="67" spans="1:4" x14ac:dyDescent="0.3">
      <c r="A67" s="3">
        <v>2023</v>
      </c>
      <c r="B67" s="6">
        <v>5.7799999999999997E-2</v>
      </c>
      <c r="C67" s="6">
        <v>9.8799999999999999E-2</v>
      </c>
    </row>
    <row r="68" spans="1:4" x14ac:dyDescent="0.3">
      <c r="A68" s="3">
        <v>2022</v>
      </c>
      <c r="B68" s="6">
        <v>7.0999999999999994E-2</v>
      </c>
      <c r="C68" s="6">
        <v>7.6999999999999999E-2</v>
      </c>
    </row>
    <row r="69" spans="1:4" x14ac:dyDescent="0.3">
      <c r="A69" s="3">
        <v>2021</v>
      </c>
      <c r="B69" s="6">
        <v>6.9400000000000003E-2</v>
      </c>
      <c r="C69" s="6">
        <v>5.5500000000000001E-2</v>
      </c>
    </row>
    <row r="70" spans="1:4" x14ac:dyDescent="0.3">
      <c r="A70" s="3">
        <v>2020</v>
      </c>
      <c r="B70" s="6">
        <v>3.4500000000000003E-2</v>
      </c>
      <c r="C70" s="6">
        <v>5.6899999999999999E-2</v>
      </c>
    </row>
    <row r="71" spans="1:4" x14ac:dyDescent="0.3">
      <c r="A71" s="3">
        <v>2019</v>
      </c>
      <c r="B71" s="6">
        <v>8.2299999999999998E-2</v>
      </c>
      <c r="C71" s="6">
        <v>5.7000000000000002E-2</v>
      </c>
    </row>
    <row r="72" spans="1:4" x14ac:dyDescent="0.3">
      <c r="A72" s="3">
        <v>2018</v>
      </c>
      <c r="B72" s="6">
        <v>7.8600000000000003E-2</v>
      </c>
      <c r="C72" s="6">
        <v>5.6000000000000001E-2</v>
      </c>
    </row>
    <row r="73" spans="1:4" x14ac:dyDescent="0.3">
      <c r="A73" s="3">
        <v>2017</v>
      </c>
      <c r="B73" s="6">
        <v>7.2800000000000004E-2</v>
      </c>
      <c r="C73" s="6">
        <v>5.6000000000000001E-2</v>
      </c>
    </row>
    <row r="74" spans="1:4" x14ac:dyDescent="0.3">
      <c r="A74" s="3">
        <v>2016</v>
      </c>
      <c r="B74" s="6">
        <v>7.0599999999999996E-2</v>
      </c>
      <c r="C74" s="6">
        <v>5.7000000000000002E-2</v>
      </c>
    </row>
  </sheetData>
  <sortState xmlns:xlrd2="http://schemas.microsoft.com/office/spreadsheetml/2017/richdata2" ref="A67:C74">
    <sortCondition descending="1" ref="A66:A74"/>
  </sortState>
  <mergeCells count="7">
    <mergeCell ref="B65:D65"/>
    <mergeCell ref="B1:K1"/>
    <mergeCell ref="B55:F55"/>
    <mergeCell ref="B12:G12"/>
    <mergeCell ref="B32:E32"/>
    <mergeCell ref="B44:D44"/>
    <mergeCell ref="B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AC6E-FD10-4586-87AA-A15903529F04}">
  <dimension ref="A1:U23"/>
  <sheetViews>
    <sheetView tabSelected="1" topLeftCell="A2" workbookViewId="0">
      <selection activeCell="E15" sqref="E15"/>
    </sheetView>
  </sheetViews>
  <sheetFormatPr defaultRowHeight="14.4" x14ac:dyDescent="0.3"/>
  <cols>
    <col min="1" max="1" width="16.5546875" customWidth="1"/>
    <col min="2" max="2" width="22.88671875" bestFit="1" customWidth="1"/>
    <col min="3" max="3" width="24.44140625" bestFit="1" customWidth="1"/>
    <col min="4" max="4" width="21.88671875" bestFit="1" customWidth="1"/>
    <col min="5" max="7" width="16.5546875" customWidth="1"/>
    <col min="8" max="11" width="13.44140625" customWidth="1"/>
    <col min="12" max="12" width="23.6640625" bestFit="1" customWidth="1"/>
  </cols>
  <sheetData>
    <row r="1" spans="1:21" ht="18" x14ac:dyDescent="0.35">
      <c r="B1" s="48" t="s">
        <v>28</v>
      </c>
      <c r="C1" s="48"/>
      <c r="D1" s="48"/>
      <c r="E1" s="48"/>
      <c r="F1" s="48"/>
      <c r="G1" s="48"/>
      <c r="H1" s="48"/>
      <c r="I1" s="48"/>
      <c r="J1" s="48"/>
      <c r="K1" s="48"/>
    </row>
    <row r="2" spans="1:2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29</v>
      </c>
      <c r="I2" s="10" t="s">
        <v>30</v>
      </c>
      <c r="J2" s="10" t="s">
        <v>31</v>
      </c>
      <c r="K2" s="10" t="s">
        <v>32</v>
      </c>
    </row>
    <row r="3" spans="1:21" x14ac:dyDescent="0.3">
      <c r="A3">
        <v>2023</v>
      </c>
      <c r="B3" s="18">
        <v>12.819437709459788</v>
      </c>
      <c r="C3" s="18">
        <v>0.93500000000000005</v>
      </c>
      <c r="D3" s="26">
        <v>4877</v>
      </c>
      <c r="E3" s="18">
        <v>0.63664133512144239</v>
      </c>
      <c r="F3" s="18">
        <v>2.7521017018659011</v>
      </c>
      <c r="G3" s="18">
        <v>0.55679084045465854</v>
      </c>
      <c r="H3" s="30">
        <v>7.9000000000000008E-3</v>
      </c>
      <c r="I3" s="30">
        <v>0.12590000000000001</v>
      </c>
      <c r="J3" s="30">
        <v>1.9199999999999998E-2</v>
      </c>
      <c r="K3" s="18">
        <v>0.81</v>
      </c>
    </row>
    <row r="4" spans="1:21" x14ac:dyDescent="0.3">
      <c r="A4">
        <v>2022</v>
      </c>
      <c r="B4" s="18">
        <v>12.775771711633636</v>
      </c>
      <c r="C4" s="18">
        <v>0.94</v>
      </c>
      <c r="D4" s="26">
        <v>4407</v>
      </c>
      <c r="E4" s="18">
        <v>0.64622300714457737</v>
      </c>
      <c r="F4" s="18">
        <v>2.8266394372589061</v>
      </c>
      <c r="G4" s="18">
        <v>0.58398574844123574</v>
      </c>
      <c r="H4" s="30">
        <v>7.1999999999999998E-3</v>
      </c>
      <c r="I4" s="30">
        <v>0.11559999999999999</v>
      </c>
      <c r="J4" s="30">
        <v>1.2999999999999999E-2</v>
      </c>
      <c r="K4" s="18">
        <v>0.74</v>
      </c>
    </row>
    <row r="5" spans="1:21" x14ac:dyDescent="0.3">
      <c r="A5">
        <v>2021</v>
      </c>
      <c r="B5" s="18">
        <v>12.632976296995821</v>
      </c>
      <c r="C5" s="18">
        <v>0.93600000000000005</v>
      </c>
      <c r="D5" s="26">
        <v>3982</v>
      </c>
      <c r="E5" s="18">
        <v>0.57795442501324856</v>
      </c>
      <c r="F5" s="18">
        <v>2.3694123556002009</v>
      </c>
      <c r="G5" s="18">
        <v>0.48003052658356654</v>
      </c>
      <c r="H5" s="30">
        <v>1.03E-2</v>
      </c>
      <c r="I5" s="30">
        <v>0.16220000000000001</v>
      </c>
      <c r="J5" s="30">
        <v>2.24E-2</v>
      </c>
      <c r="K5" s="18">
        <v>0.98</v>
      </c>
    </row>
    <row r="6" spans="1:21" x14ac:dyDescent="0.3">
      <c r="A6">
        <v>2020</v>
      </c>
      <c r="B6" s="18">
        <v>12.50346615891706</v>
      </c>
      <c r="C6" s="18">
        <v>0.93700000000000006</v>
      </c>
      <c r="D6" s="26">
        <v>3632</v>
      </c>
      <c r="E6" s="18">
        <v>0.51913147093869982</v>
      </c>
      <c r="F6" s="18">
        <v>2.079570484581498</v>
      </c>
      <c r="G6" s="18">
        <v>0.44400681911704193</v>
      </c>
      <c r="H6" s="30">
        <v>3.7000000000000002E-3</v>
      </c>
      <c r="I6" s="30">
        <v>5.8299999999999998E-2</v>
      </c>
      <c r="J6" s="30">
        <v>1.46E-2</v>
      </c>
      <c r="K6" s="18">
        <v>0.79</v>
      </c>
    </row>
    <row r="7" spans="1:21" x14ac:dyDescent="0.3">
      <c r="A7" s="13">
        <v>2019</v>
      </c>
      <c r="B7" s="25">
        <v>12.456481107992396</v>
      </c>
      <c r="C7" s="25">
        <v>0.94299999999999995</v>
      </c>
      <c r="D7" s="27">
        <v>3276</v>
      </c>
      <c r="E7" s="25">
        <v>0.72652689152233363</v>
      </c>
      <c r="F7" s="25">
        <v>3.6566666666666667</v>
      </c>
      <c r="G7" s="25">
        <v>0.75655172413793104</v>
      </c>
      <c r="H7" s="6">
        <v>5.5999999999999999E-3</v>
      </c>
      <c r="I7" s="6">
        <v>9.0300000000000005E-2</v>
      </c>
      <c r="J7" s="6">
        <v>2.8400000000000002E-2</v>
      </c>
      <c r="K7" s="18">
        <v>0.99</v>
      </c>
    </row>
    <row r="8" spans="1:21" x14ac:dyDescent="0.3">
      <c r="A8" s="13">
        <v>2018</v>
      </c>
      <c r="B8" s="25">
        <v>12.312435159020461</v>
      </c>
      <c r="C8" s="25">
        <v>0.94</v>
      </c>
      <c r="D8" s="27">
        <v>2711</v>
      </c>
      <c r="E8" s="25">
        <v>0.73566692667706712</v>
      </c>
      <c r="F8" s="25">
        <v>3.7831058649944671</v>
      </c>
      <c r="G8" s="25">
        <v>0.77234731530988776</v>
      </c>
      <c r="H8" s="6">
        <v>8.2100000000000003E-3</v>
      </c>
      <c r="I8" s="6">
        <v>0.13850000000000001</v>
      </c>
      <c r="J8" s="6">
        <v>2.7900000000000001E-2</v>
      </c>
      <c r="K8" s="25">
        <v>1</v>
      </c>
    </row>
    <row r="9" spans="1:21" x14ac:dyDescent="0.3">
      <c r="A9" s="13">
        <v>2017</v>
      </c>
      <c r="B9" s="25">
        <v>12.214804412453621</v>
      </c>
      <c r="C9" s="25">
        <v>0.94099999999999995</v>
      </c>
      <c r="D9" s="27">
        <v>2402</v>
      </c>
      <c r="E9" s="25">
        <v>0.70879786718371307</v>
      </c>
      <c r="F9" s="25">
        <v>3.4354704412989174</v>
      </c>
      <c r="G9" s="25">
        <v>0.70158136371365409</v>
      </c>
      <c r="H9" s="3">
        <v>1.0800000000000001E-2</v>
      </c>
      <c r="I9" s="3">
        <v>0.1835</v>
      </c>
      <c r="J9" s="6">
        <v>2.6599999999999999E-2</v>
      </c>
      <c r="K9" s="18">
        <v>0.99</v>
      </c>
    </row>
    <row r="10" spans="1:21" x14ac:dyDescent="0.3">
      <c r="A10" s="13">
        <v>2016</v>
      </c>
      <c r="B10" s="25">
        <v>12.015946713671976</v>
      </c>
      <c r="C10" s="25">
        <v>0.94099999999999995</v>
      </c>
      <c r="D10" s="27">
        <v>2256</v>
      </c>
      <c r="E10" s="25">
        <v>0.68925619834710738</v>
      </c>
      <c r="F10" s="25">
        <v>3.2180851063829787</v>
      </c>
      <c r="G10" s="25">
        <v>0.73945813811366878</v>
      </c>
      <c r="H10" s="6">
        <v>8.8500000000000002E-3</v>
      </c>
      <c r="I10" s="6">
        <v>0.15609999999999999</v>
      </c>
      <c r="J10" s="6">
        <v>2.8299999999999999E-2</v>
      </c>
      <c r="K10" s="18">
        <v>0.97</v>
      </c>
    </row>
    <row r="13" spans="1:21" ht="15" thickBot="1" x14ac:dyDescent="0.35">
      <c r="A13" s="9" t="s">
        <v>0</v>
      </c>
      <c r="B13" s="9" t="s">
        <v>1</v>
      </c>
      <c r="C13" s="9" t="s">
        <v>2</v>
      </c>
      <c r="D13" s="9" t="s">
        <v>4</v>
      </c>
      <c r="E13" s="15" t="s">
        <v>25</v>
      </c>
      <c r="F13" s="15" t="s">
        <v>26</v>
      </c>
      <c r="G13" s="10" t="s">
        <v>29</v>
      </c>
      <c r="H13" s="10" t="s">
        <v>30</v>
      </c>
      <c r="I13" s="10" t="s">
        <v>31</v>
      </c>
      <c r="J13" s="10" t="s">
        <v>32</v>
      </c>
    </row>
    <row r="14" spans="1:21" x14ac:dyDescent="0.3">
      <c r="A14">
        <v>2023</v>
      </c>
      <c r="B14" s="18">
        <v>12.819437709459788</v>
      </c>
      <c r="C14" s="18">
        <v>0.93500000000000005</v>
      </c>
      <c r="D14" s="18">
        <v>0.63664133512144239</v>
      </c>
      <c r="E14" s="6">
        <v>5.7799999999999997E-2</v>
      </c>
      <c r="F14" s="6">
        <v>9.8799999999999999E-2</v>
      </c>
      <c r="G14" s="30">
        <v>7.9000000000000008E-3</v>
      </c>
      <c r="H14" s="30">
        <v>0.12590000000000001</v>
      </c>
      <c r="I14" s="30">
        <v>1.9199999999999998E-2</v>
      </c>
      <c r="J14" s="18">
        <v>0.81</v>
      </c>
      <c r="O14" s="45"/>
      <c r="P14" s="45"/>
      <c r="Q14" s="45"/>
      <c r="R14" s="45"/>
      <c r="S14" s="45"/>
      <c r="T14" s="45"/>
      <c r="U14" s="45"/>
    </row>
    <row r="15" spans="1:21" x14ac:dyDescent="0.3">
      <c r="A15">
        <v>2022</v>
      </c>
      <c r="B15" s="18">
        <v>12.775771711633636</v>
      </c>
      <c r="C15" s="18">
        <v>0.94</v>
      </c>
      <c r="D15" s="18">
        <v>0.64622300714457737</v>
      </c>
      <c r="E15" s="6">
        <v>7.0999999999999994E-2</v>
      </c>
      <c r="F15" s="6">
        <v>7.6999999999999999E-2</v>
      </c>
      <c r="G15" s="30">
        <v>7.1999999999999998E-3</v>
      </c>
      <c r="H15" s="30">
        <v>0.11559999999999999</v>
      </c>
      <c r="I15" s="30">
        <v>1.2999999999999999E-2</v>
      </c>
      <c r="J15" s="18">
        <v>0.74</v>
      </c>
    </row>
    <row r="16" spans="1:21" x14ac:dyDescent="0.3">
      <c r="A16">
        <v>2021</v>
      </c>
      <c r="B16" s="18">
        <v>12.632976296995821</v>
      </c>
      <c r="C16" s="18">
        <v>0.93600000000000005</v>
      </c>
      <c r="D16" s="18">
        <v>0.57795442501324856</v>
      </c>
      <c r="E16" s="6">
        <v>6.9400000000000003E-2</v>
      </c>
      <c r="F16" s="6">
        <v>5.5500000000000001E-2</v>
      </c>
      <c r="G16" s="30">
        <v>1.03E-2</v>
      </c>
      <c r="H16" s="30">
        <v>0.16220000000000001</v>
      </c>
      <c r="I16" s="30">
        <v>2.24E-2</v>
      </c>
      <c r="J16" s="18">
        <v>0.98</v>
      </c>
    </row>
    <row r="17" spans="1:21" x14ac:dyDescent="0.3">
      <c r="A17">
        <v>2020</v>
      </c>
      <c r="B17" s="18">
        <v>12.50346615891706</v>
      </c>
      <c r="C17" s="18">
        <v>0.93700000000000006</v>
      </c>
      <c r="D17" s="18">
        <v>0.51913147093869982</v>
      </c>
      <c r="E17" s="6">
        <v>3.4500000000000003E-2</v>
      </c>
      <c r="F17" s="6">
        <v>5.6899999999999999E-2</v>
      </c>
      <c r="G17" s="30">
        <v>3.7000000000000002E-3</v>
      </c>
      <c r="H17" s="30">
        <v>5.8299999999999998E-2</v>
      </c>
      <c r="I17" s="30">
        <v>1.46E-2</v>
      </c>
      <c r="J17" s="18">
        <v>0.79</v>
      </c>
    </row>
    <row r="18" spans="1:21" x14ac:dyDescent="0.3">
      <c r="A18" s="13">
        <v>2019</v>
      </c>
      <c r="B18" s="25">
        <v>12.456481107992396</v>
      </c>
      <c r="C18" s="25">
        <v>0.94299999999999995</v>
      </c>
      <c r="D18" s="25">
        <v>0.72652689152233363</v>
      </c>
      <c r="E18" s="6">
        <v>8.2299999999999998E-2</v>
      </c>
      <c r="F18" s="6">
        <v>5.7000000000000002E-2</v>
      </c>
      <c r="G18" s="6">
        <v>5.5999999999999999E-3</v>
      </c>
      <c r="H18" s="6">
        <v>9.0300000000000005E-2</v>
      </c>
      <c r="I18" s="6">
        <v>2.8400000000000002E-2</v>
      </c>
      <c r="J18" s="18">
        <v>0.99</v>
      </c>
    </row>
    <row r="19" spans="1:21" x14ac:dyDescent="0.3">
      <c r="A19" s="13">
        <v>2018</v>
      </c>
      <c r="B19" s="25">
        <v>12.312435159020461</v>
      </c>
      <c r="C19" s="25">
        <v>0.94</v>
      </c>
      <c r="D19" s="25">
        <v>0.73566692667706712</v>
      </c>
      <c r="E19" s="6">
        <v>7.8600000000000003E-2</v>
      </c>
      <c r="F19" s="6">
        <v>5.6000000000000001E-2</v>
      </c>
      <c r="G19" s="6">
        <v>8.2100000000000003E-3</v>
      </c>
      <c r="H19" s="6">
        <v>0.13850000000000001</v>
      </c>
      <c r="I19" s="6">
        <v>2.7900000000000001E-2</v>
      </c>
      <c r="J19" s="25">
        <v>1</v>
      </c>
    </row>
    <row r="20" spans="1:21" x14ac:dyDescent="0.3">
      <c r="A20" s="13">
        <v>2017</v>
      </c>
      <c r="B20" s="25">
        <v>12.214804412453621</v>
      </c>
      <c r="C20" s="25">
        <v>0.94099999999999995</v>
      </c>
      <c r="D20" s="25">
        <v>0.70879786718371307</v>
      </c>
      <c r="E20" s="6">
        <v>7.2800000000000004E-2</v>
      </c>
      <c r="F20" s="6">
        <v>5.6000000000000001E-2</v>
      </c>
      <c r="G20" s="3">
        <v>1.0800000000000001E-2</v>
      </c>
      <c r="H20" s="3">
        <v>0.1835</v>
      </c>
      <c r="I20" s="6">
        <v>2.6599999999999999E-2</v>
      </c>
      <c r="J20" s="18">
        <v>0.99</v>
      </c>
    </row>
    <row r="21" spans="1:21" x14ac:dyDescent="0.3">
      <c r="A21" s="13">
        <v>2016</v>
      </c>
      <c r="B21" s="25">
        <v>12.015946713671976</v>
      </c>
      <c r="C21" s="25">
        <v>0.94099999999999995</v>
      </c>
      <c r="D21" s="25">
        <v>0.68925619834710738</v>
      </c>
      <c r="E21" s="6">
        <v>7.0599999999999996E-2</v>
      </c>
      <c r="F21" s="6">
        <v>5.7000000000000002E-2</v>
      </c>
      <c r="G21" s="6">
        <v>8.8500000000000002E-3</v>
      </c>
      <c r="H21" s="6">
        <v>0.15609999999999999</v>
      </c>
      <c r="I21" s="6">
        <v>2.8299999999999999E-2</v>
      </c>
      <c r="J21" s="18">
        <v>0.97</v>
      </c>
    </row>
    <row r="23" spans="1:21" ht="15" thickBot="1" x14ac:dyDescent="0.35">
      <c r="L23" s="44"/>
      <c r="M23" s="44"/>
      <c r="N23" s="44"/>
      <c r="O23" s="44"/>
      <c r="P23" s="44"/>
      <c r="Q23" s="44"/>
      <c r="R23" s="44"/>
      <c r="S23" s="44"/>
      <c r="T23" s="44"/>
      <c r="U23" s="44"/>
    </row>
  </sheetData>
  <sortState xmlns:xlrd2="http://schemas.microsoft.com/office/spreadsheetml/2017/richdata2" ref="A3:K10">
    <sortCondition descending="1" ref="A3:A10"/>
  </sortState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A8BD-6917-4F0A-882F-A9771A6FD3DA}">
  <dimension ref="A1:I10"/>
  <sheetViews>
    <sheetView workbookViewId="0">
      <selection activeCell="A2" sqref="A1:G1048576"/>
    </sheetView>
  </sheetViews>
  <sheetFormatPr defaultRowHeight="14.4" x14ac:dyDescent="0.3"/>
  <cols>
    <col min="1" max="7" width="18.88671875" customWidth="1"/>
  </cols>
  <sheetData>
    <row r="1" spans="1:9" ht="18" x14ac:dyDescent="0.35">
      <c r="A1" s="46" t="s">
        <v>14</v>
      </c>
      <c r="B1" s="46"/>
      <c r="C1" s="46"/>
      <c r="D1" s="46"/>
      <c r="E1" s="46"/>
      <c r="F1" s="46"/>
      <c r="G1" s="46"/>
      <c r="H1" s="46"/>
      <c r="I1" s="46"/>
    </row>
    <row r="2" spans="1:9" ht="57.6" x14ac:dyDescent="0.3">
      <c r="A2" s="8" t="s">
        <v>0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</row>
    <row r="3" spans="1:9" x14ac:dyDescent="0.3">
      <c r="A3" s="2">
        <v>2023</v>
      </c>
      <c r="B3" s="5">
        <v>10156</v>
      </c>
      <c r="C3" s="5">
        <v>7253</v>
      </c>
      <c r="D3" s="5">
        <v>9448</v>
      </c>
      <c r="E3" s="5">
        <v>7961</v>
      </c>
      <c r="F3" s="5">
        <v>24915</v>
      </c>
      <c r="G3" s="3" t="s">
        <v>13</v>
      </c>
    </row>
    <row r="4" spans="1:9" x14ac:dyDescent="0.3">
      <c r="A4" s="2">
        <v>2022</v>
      </c>
      <c r="B4" s="5">
        <v>11980</v>
      </c>
      <c r="C4" s="5">
        <v>3867</v>
      </c>
      <c r="D4" s="5">
        <v>8505</v>
      </c>
      <c r="E4" s="5">
        <v>7342</v>
      </c>
      <c r="F4" s="5">
        <v>24300</v>
      </c>
      <c r="G4" s="5">
        <v>19893</v>
      </c>
    </row>
    <row r="5" spans="1:9" x14ac:dyDescent="0.3">
      <c r="A5" s="2">
        <v>2021</v>
      </c>
      <c r="B5" s="5">
        <v>6517</v>
      </c>
      <c r="C5" s="5">
        <v>5747</v>
      </c>
      <c r="D5" s="5">
        <v>7503</v>
      </c>
      <c r="E5" s="5">
        <v>4761</v>
      </c>
      <c r="F5" s="5">
        <v>15913</v>
      </c>
      <c r="G5" s="5">
        <v>11931</v>
      </c>
    </row>
    <row r="6" spans="1:9" x14ac:dyDescent="0.3">
      <c r="A6" s="2">
        <v>2020</v>
      </c>
      <c r="B6" s="5">
        <v>5946</v>
      </c>
      <c r="C6" s="5">
        <v>3945</v>
      </c>
      <c r="D6" s="5">
        <v>6605</v>
      </c>
      <c r="E6" s="5">
        <v>3287</v>
      </c>
      <c r="F6" s="5">
        <v>12558</v>
      </c>
      <c r="G6" s="5">
        <v>8926</v>
      </c>
    </row>
    <row r="7" spans="1:9" x14ac:dyDescent="0.3">
      <c r="A7" s="2">
        <v>2019</v>
      </c>
      <c r="B7">
        <v>5777</v>
      </c>
      <c r="C7">
        <v>5430</v>
      </c>
      <c r="D7">
        <v>5967</v>
      </c>
      <c r="E7">
        <v>5240</v>
      </c>
      <c r="F7" s="5">
        <v>10970</v>
      </c>
      <c r="G7" s="5">
        <v>7970</v>
      </c>
    </row>
    <row r="8" spans="1:9" x14ac:dyDescent="0.3">
      <c r="A8" s="2">
        <v>2018</v>
      </c>
      <c r="B8">
        <v>4578</v>
      </c>
      <c r="C8">
        <v>5251</v>
      </c>
      <c r="D8">
        <v>4945</v>
      </c>
      <c r="E8">
        <v>4884</v>
      </c>
      <c r="F8" s="5">
        <v>10256</v>
      </c>
      <c r="G8" s="5">
        <v>7545</v>
      </c>
    </row>
    <row r="9" spans="1:9" x14ac:dyDescent="0.3">
      <c r="A9" s="2">
        <v>2017</v>
      </c>
      <c r="B9">
        <v>4172</v>
      </c>
      <c r="C9">
        <v>4308</v>
      </c>
      <c r="D9">
        <v>4564</v>
      </c>
      <c r="E9">
        <v>3916</v>
      </c>
      <c r="F9" s="5">
        <v>8252</v>
      </c>
      <c r="G9" s="5">
        <v>5849</v>
      </c>
    </row>
    <row r="10" spans="1:9" x14ac:dyDescent="0.3">
      <c r="A10" s="2">
        <v>2016</v>
      </c>
      <c r="B10">
        <v>3637</v>
      </c>
      <c r="C10">
        <v>3878</v>
      </c>
      <c r="D10">
        <v>4107</v>
      </c>
      <c r="E10">
        <v>3408</v>
      </c>
      <c r="F10" s="5">
        <v>7260</v>
      </c>
      <c r="G10" s="5">
        <v>5004</v>
      </c>
    </row>
  </sheetData>
  <sortState xmlns:xlrd2="http://schemas.microsoft.com/office/spreadsheetml/2017/richdata2" ref="A4:G10">
    <sortCondition descending="1" ref="A3:A10"/>
  </sortState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CCDD-0D67-476B-889C-E4D165597608}">
  <dimension ref="A1:J10"/>
  <sheetViews>
    <sheetView workbookViewId="0">
      <selection activeCell="B7" sqref="B7:B10"/>
    </sheetView>
  </sheetViews>
  <sheetFormatPr defaultRowHeight="14.4" x14ac:dyDescent="0.3"/>
  <cols>
    <col min="1" max="3" width="27.109375" customWidth="1"/>
  </cols>
  <sheetData>
    <row r="1" spans="1:10" ht="18" x14ac:dyDescent="0.35">
      <c r="A1" s="46" t="s">
        <v>17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57.6" x14ac:dyDescent="0.3">
      <c r="A2" s="8" t="s">
        <v>0</v>
      </c>
      <c r="B2" s="7" t="s">
        <v>15</v>
      </c>
      <c r="C2" s="7" t="s">
        <v>16</v>
      </c>
    </row>
    <row r="3" spans="1:10" x14ac:dyDescent="0.3">
      <c r="A3" s="2">
        <v>2023</v>
      </c>
      <c r="B3" s="5">
        <v>4877</v>
      </c>
      <c r="C3" s="3">
        <v>584.19000000000005</v>
      </c>
    </row>
    <row r="4" spans="1:10" x14ac:dyDescent="0.3">
      <c r="A4" s="2">
        <v>2022</v>
      </c>
      <c r="B4" s="5">
        <v>4407</v>
      </c>
      <c r="C4" s="3">
        <v>707.67</v>
      </c>
    </row>
    <row r="5" spans="1:10" x14ac:dyDescent="0.3">
      <c r="A5" s="2">
        <v>2021</v>
      </c>
      <c r="B5" s="5">
        <v>3982</v>
      </c>
      <c r="C5" s="3">
        <v>625.74</v>
      </c>
    </row>
    <row r="6" spans="1:10" x14ac:dyDescent="0.3">
      <c r="A6" s="2">
        <v>2020</v>
      </c>
      <c r="B6" s="5">
        <v>3632</v>
      </c>
      <c r="C6" s="3">
        <v>693.42</v>
      </c>
    </row>
    <row r="7" spans="1:10" x14ac:dyDescent="0.3">
      <c r="A7" s="2">
        <v>2019</v>
      </c>
      <c r="B7" s="5">
        <v>3000</v>
      </c>
      <c r="C7" s="13">
        <v>632</v>
      </c>
    </row>
    <row r="8" spans="1:10" x14ac:dyDescent="0.3">
      <c r="A8" s="2">
        <v>2018</v>
      </c>
      <c r="B8" s="5">
        <v>2711</v>
      </c>
      <c r="C8" s="13">
        <v>464</v>
      </c>
    </row>
    <row r="9" spans="1:10" x14ac:dyDescent="0.3">
      <c r="A9" s="2">
        <v>2017</v>
      </c>
      <c r="B9" s="5">
        <v>2402</v>
      </c>
      <c r="C9" s="13">
        <v>429</v>
      </c>
    </row>
    <row r="10" spans="1:10" x14ac:dyDescent="0.3">
      <c r="A10" s="2">
        <v>2016</v>
      </c>
      <c r="B10" s="5">
        <v>2256</v>
      </c>
      <c r="C10" s="13">
        <v>390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955F-1EF4-404B-BF91-61B07D0AEFD1}">
  <dimension ref="A1:J10"/>
  <sheetViews>
    <sheetView workbookViewId="0">
      <selection activeCell="A2" sqref="A1:E1048576"/>
    </sheetView>
  </sheetViews>
  <sheetFormatPr defaultRowHeight="14.4" x14ac:dyDescent="0.3"/>
  <cols>
    <col min="1" max="5" width="15.5546875" customWidth="1"/>
  </cols>
  <sheetData>
    <row r="1" spans="1:10" ht="18" x14ac:dyDescent="0.35">
      <c r="A1" s="46" t="s">
        <v>22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43.2" x14ac:dyDescent="0.3">
      <c r="A2" s="8" t="s">
        <v>0</v>
      </c>
      <c r="B2" s="7" t="s">
        <v>18</v>
      </c>
      <c r="C2" s="7" t="s">
        <v>19</v>
      </c>
      <c r="D2" s="7" t="s">
        <v>20</v>
      </c>
      <c r="E2" s="8" t="s">
        <v>21</v>
      </c>
    </row>
    <row r="3" spans="1:10" x14ac:dyDescent="0.3">
      <c r="A3" s="2">
        <v>2023</v>
      </c>
      <c r="B3" s="5">
        <v>369327</v>
      </c>
      <c r="C3" s="5">
        <v>345222</v>
      </c>
      <c r="D3" s="3">
        <v>12.82</v>
      </c>
      <c r="E3" s="2">
        <v>12.82</v>
      </c>
    </row>
    <row r="4" spans="1:10" x14ac:dyDescent="0.3">
      <c r="A4" s="2">
        <v>2022</v>
      </c>
      <c r="B4" s="5">
        <v>353547</v>
      </c>
      <c r="C4" s="5">
        <v>332216</v>
      </c>
      <c r="D4" s="3">
        <v>12.776</v>
      </c>
      <c r="E4" s="2">
        <v>12.776</v>
      </c>
    </row>
    <row r="5" spans="1:10" x14ac:dyDescent="0.3">
      <c r="A5" s="2">
        <v>2021</v>
      </c>
      <c r="B5" s="5">
        <v>306501</v>
      </c>
      <c r="C5" s="5">
        <v>286846</v>
      </c>
      <c r="D5" s="3">
        <v>12.63</v>
      </c>
      <c r="E5" s="2">
        <v>12.63</v>
      </c>
    </row>
    <row r="6" spans="1:10" x14ac:dyDescent="0.3">
      <c r="A6" s="2">
        <v>2020</v>
      </c>
      <c r="B6" s="5">
        <v>269269</v>
      </c>
      <c r="C6" s="5">
        <v>252258</v>
      </c>
      <c r="D6" s="3">
        <v>12.497999999999999</v>
      </c>
      <c r="E6" s="2">
        <v>12.497999999999999</v>
      </c>
    </row>
    <row r="7" spans="1:10" x14ac:dyDescent="0.3">
      <c r="A7" s="2">
        <v>2019</v>
      </c>
      <c r="B7" s="5">
        <v>256910</v>
      </c>
      <c r="C7" s="5">
        <v>240620</v>
      </c>
      <c r="D7" s="3">
        <v>12.46</v>
      </c>
      <c r="E7" s="2">
        <v>12.46</v>
      </c>
    </row>
    <row r="8" spans="1:10" x14ac:dyDescent="0.3">
      <c r="A8" s="2">
        <v>2018</v>
      </c>
      <c r="B8" s="5">
        <v>222445</v>
      </c>
      <c r="C8" s="5">
        <v>209170</v>
      </c>
      <c r="D8" s="3">
        <v>12.31</v>
      </c>
      <c r="E8" s="2">
        <v>12.31</v>
      </c>
    </row>
    <row r="9" spans="1:10" x14ac:dyDescent="0.3">
      <c r="A9" s="2">
        <v>2017</v>
      </c>
      <c r="B9" s="5">
        <v>201754</v>
      </c>
      <c r="C9" s="5">
        <v>189992</v>
      </c>
      <c r="D9" s="3">
        <v>12.21</v>
      </c>
      <c r="E9" s="2">
        <v>12.21</v>
      </c>
    </row>
    <row r="10" spans="1:10" x14ac:dyDescent="0.3">
      <c r="A10" s="2">
        <v>2016</v>
      </c>
      <c r="B10" s="5">
        <v>165371</v>
      </c>
      <c r="C10" s="5">
        <v>155552</v>
      </c>
      <c r="D10" s="3">
        <v>12.016</v>
      </c>
      <c r="E10" s="2">
        <v>12.016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CF6C-75CC-4AE2-B2AE-C4CDC06916B1}">
  <dimension ref="A1:K10"/>
  <sheetViews>
    <sheetView workbookViewId="0">
      <selection activeCell="C20" sqref="C20"/>
    </sheetView>
  </sheetViews>
  <sheetFormatPr defaultRowHeight="14.4" x14ac:dyDescent="0.3"/>
  <cols>
    <col min="1" max="4" width="22.5546875" customWidth="1"/>
  </cols>
  <sheetData>
    <row r="1" spans="1:11" ht="18" x14ac:dyDescent="0.35">
      <c r="A1" s="46" t="s">
        <v>24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8.8" x14ac:dyDescent="0.3">
      <c r="A2" s="8" t="s">
        <v>0</v>
      </c>
      <c r="B2" s="7" t="s">
        <v>19</v>
      </c>
      <c r="C2" s="7" t="s">
        <v>18</v>
      </c>
      <c r="D2" s="7" t="s">
        <v>23</v>
      </c>
    </row>
    <row r="3" spans="1:11" x14ac:dyDescent="0.3">
      <c r="A3" s="2">
        <v>2023</v>
      </c>
      <c r="B3" s="5">
        <v>345222</v>
      </c>
      <c r="C3" s="5">
        <v>369327</v>
      </c>
      <c r="D3" s="3">
        <v>0.93500000000000005</v>
      </c>
    </row>
    <row r="4" spans="1:11" x14ac:dyDescent="0.3">
      <c r="A4" s="2">
        <v>2022</v>
      </c>
      <c r="B4" s="5">
        <v>332216</v>
      </c>
      <c r="C4" s="5">
        <v>353547</v>
      </c>
      <c r="D4" s="3">
        <v>0.94</v>
      </c>
    </row>
    <row r="5" spans="1:11" x14ac:dyDescent="0.3">
      <c r="A5" s="2">
        <v>2021</v>
      </c>
      <c r="B5" s="5">
        <v>286846</v>
      </c>
      <c r="C5" s="5">
        <v>306501</v>
      </c>
      <c r="D5" s="3">
        <v>0.93600000000000005</v>
      </c>
    </row>
    <row r="6" spans="1:11" x14ac:dyDescent="0.3">
      <c r="A6" s="2">
        <v>2020</v>
      </c>
      <c r="B6" s="5">
        <v>252258</v>
      </c>
      <c r="C6" s="5">
        <v>269269</v>
      </c>
      <c r="D6" s="3">
        <v>0.93700000000000006</v>
      </c>
    </row>
    <row r="7" spans="1:11" x14ac:dyDescent="0.3">
      <c r="A7" s="2">
        <v>2019</v>
      </c>
      <c r="B7" s="5">
        <v>240620</v>
      </c>
      <c r="C7" s="5">
        <v>256910</v>
      </c>
      <c r="D7" s="3">
        <v>0.94099999999999995</v>
      </c>
    </row>
    <row r="8" spans="1:11" x14ac:dyDescent="0.3">
      <c r="A8" s="2">
        <v>2018</v>
      </c>
      <c r="B8" s="5">
        <v>209170</v>
      </c>
      <c r="C8" s="5">
        <v>222445</v>
      </c>
      <c r="D8" s="3">
        <v>0.94099999999999995</v>
      </c>
    </row>
    <row r="9" spans="1:11" x14ac:dyDescent="0.3">
      <c r="A9" s="2">
        <v>2017</v>
      </c>
      <c r="B9" s="5">
        <v>189992</v>
      </c>
      <c r="C9" s="5">
        <v>201754</v>
      </c>
      <c r="D9" s="3">
        <v>0.94</v>
      </c>
    </row>
    <row r="10" spans="1:11" x14ac:dyDescent="0.3">
      <c r="A10" s="2">
        <v>2016</v>
      </c>
      <c r="B10" s="5">
        <v>155552</v>
      </c>
      <c r="C10" s="5">
        <v>165371</v>
      </c>
      <c r="D10" s="3">
        <v>0.94299999999999995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37FA-79CC-4446-8F68-A1A47993AD4D}">
  <dimension ref="A1:J10"/>
  <sheetViews>
    <sheetView workbookViewId="0">
      <selection activeCell="B2" sqref="B2:C10"/>
    </sheetView>
  </sheetViews>
  <sheetFormatPr defaultRowHeight="14.4" x14ac:dyDescent="0.3"/>
  <sheetData>
    <row r="1" spans="1:10" ht="18" x14ac:dyDescent="0.35">
      <c r="A1" s="46" t="s">
        <v>27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43.2" x14ac:dyDescent="0.3">
      <c r="A2" s="15" t="s">
        <v>0</v>
      </c>
      <c r="B2" s="15" t="s">
        <v>25</v>
      </c>
      <c r="C2" s="15" t="s">
        <v>26</v>
      </c>
    </row>
    <row r="3" spans="1:10" x14ac:dyDescent="0.3">
      <c r="A3" s="3">
        <v>2023</v>
      </c>
      <c r="B3" s="6">
        <v>5.7799999999999997E-2</v>
      </c>
      <c r="C3" s="6">
        <v>9.8799999999999999E-2</v>
      </c>
    </row>
    <row r="4" spans="1:10" x14ac:dyDescent="0.3">
      <c r="A4" s="3">
        <v>2022</v>
      </c>
      <c r="B4" s="6">
        <v>7.0999999999999994E-2</v>
      </c>
      <c r="C4" s="6">
        <v>7.6999999999999999E-2</v>
      </c>
    </row>
    <row r="5" spans="1:10" x14ac:dyDescent="0.3">
      <c r="A5" s="3">
        <v>2021</v>
      </c>
      <c r="B5" s="6">
        <v>6.9400000000000003E-2</v>
      </c>
      <c r="C5" s="6">
        <v>5.5500000000000001E-2</v>
      </c>
    </row>
    <row r="6" spans="1:10" x14ac:dyDescent="0.3">
      <c r="A6" s="3">
        <v>2020</v>
      </c>
      <c r="B6" s="6">
        <v>3.4500000000000003E-2</v>
      </c>
      <c r="C6" s="6">
        <v>5.6899999999999999E-2</v>
      </c>
    </row>
    <row r="7" spans="1:10" x14ac:dyDescent="0.3">
      <c r="A7" s="3">
        <v>2019</v>
      </c>
      <c r="B7" s="6">
        <v>8.2299999999999998E-2</v>
      </c>
      <c r="C7" s="6">
        <v>5.7000000000000002E-2</v>
      </c>
    </row>
    <row r="8" spans="1:10" x14ac:dyDescent="0.3">
      <c r="A8" s="3">
        <v>2018</v>
      </c>
      <c r="B8" s="6">
        <v>7.8600000000000003E-2</v>
      </c>
      <c r="C8" s="6">
        <v>5.6000000000000001E-2</v>
      </c>
    </row>
    <row r="9" spans="1:10" x14ac:dyDescent="0.3">
      <c r="A9" s="3">
        <v>2017</v>
      </c>
      <c r="B9" s="6">
        <v>7.2800000000000004E-2</v>
      </c>
      <c r="C9" s="6">
        <v>5.6000000000000001E-2</v>
      </c>
    </row>
    <row r="10" spans="1:10" x14ac:dyDescent="0.3">
      <c r="A10" s="3">
        <v>2016</v>
      </c>
      <c r="B10" s="6">
        <v>7.0599999999999996E-2</v>
      </c>
      <c r="C10" s="6">
        <v>5.7000000000000002E-2</v>
      </c>
    </row>
  </sheetData>
  <sortState xmlns:xlrd2="http://schemas.microsoft.com/office/spreadsheetml/2017/richdata2" ref="A3:C10">
    <sortCondition descending="1" ref="A3:A10"/>
  </sortState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B74E-F149-4DE4-B600-E10725C9C756}">
  <dimension ref="A1:L9"/>
  <sheetViews>
    <sheetView topLeftCell="A9" workbookViewId="0">
      <selection activeCell="E12" sqref="E12"/>
    </sheetView>
  </sheetViews>
  <sheetFormatPr defaultRowHeight="14.4" x14ac:dyDescent="0.3"/>
  <cols>
    <col min="1" max="1" width="9.109375" bestFit="1" customWidth="1"/>
    <col min="2" max="2" width="27.33203125" bestFit="1" customWidth="1"/>
    <col min="3" max="3" width="28.88671875" bestFit="1" customWidth="1"/>
    <col min="4" max="4" width="15.77734375" bestFit="1" customWidth="1"/>
    <col min="5" max="5" width="16.21875" bestFit="1" customWidth="1"/>
    <col min="6" max="6" width="19.109375" bestFit="1" customWidth="1"/>
    <col min="7" max="7" width="12.33203125" bestFit="1" customWidth="1"/>
    <col min="8" max="8" width="12.109375" bestFit="1" customWidth="1"/>
    <col min="9" max="9" width="12.33203125" bestFit="1" customWidth="1"/>
    <col min="10" max="10" width="9.109375" bestFit="1" customWidth="1"/>
    <col min="11" max="11" width="14.5546875" bestFit="1" customWidth="1"/>
    <col min="12" max="12" width="15.21875" bestFit="1" customWidth="1"/>
  </cols>
  <sheetData>
    <row r="1" spans="1:12" x14ac:dyDescent="0.3">
      <c r="A1" s="31" t="s">
        <v>0</v>
      </c>
      <c r="B1" s="31" t="s">
        <v>47</v>
      </c>
      <c r="C1" s="31" t="s">
        <v>23</v>
      </c>
      <c r="D1" s="31" t="s">
        <v>48</v>
      </c>
      <c r="E1" s="31" t="s">
        <v>49</v>
      </c>
      <c r="F1" s="31" t="s">
        <v>50</v>
      </c>
      <c r="G1" s="33" t="s">
        <v>29</v>
      </c>
      <c r="H1" s="33" t="s">
        <v>30</v>
      </c>
      <c r="I1" s="33" t="s">
        <v>31</v>
      </c>
      <c r="J1" s="32" t="s">
        <v>32</v>
      </c>
      <c r="K1" s="36" t="s">
        <v>51</v>
      </c>
      <c r="L1" s="36" t="s">
        <v>52</v>
      </c>
    </row>
    <row r="2" spans="1:12" x14ac:dyDescent="0.3">
      <c r="A2" s="13">
        <v>2016</v>
      </c>
      <c r="B2" s="25">
        <v>12.015946713671976</v>
      </c>
      <c r="C2" s="25">
        <v>0.94099999999999995</v>
      </c>
      <c r="D2" s="25">
        <v>0.68925619834710738</v>
      </c>
      <c r="E2" s="25">
        <v>3.2180851063829787</v>
      </c>
      <c r="F2" s="25">
        <v>0.73945813811366878</v>
      </c>
      <c r="G2" s="34">
        <v>8.8500000000000002E-3</v>
      </c>
      <c r="H2" s="34">
        <v>0.15609999999999999</v>
      </c>
      <c r="I2" s="34">
        <v>2.8299999999999999E-2</v>
      </c>
      <c r="J2" s="18">
        <v>0.97</v>
      </c>
      <c r="K2" s="34">
        <v>7.0599999999999996E-2</v>
      </c>
      <c r="L2" s="34">
        <v>5.7000000000000002E-2</v>
      </c>
    </row>
    <row r="3" spans="1:12" x14ac:dyDescent="0.3">
      <c r="A3" s="13">
        <v>2017</v>
      </c>
      <c r="B3" s="25">
        <v>12.214804412453621</v>
      </c>
      <c r="C3" s="25">
        <v>0.94099999999999995</v>
      </c>
      <c r="D3" s="25">
        <v>0.70879786718371307</v>
      </c>
      <c r="E3" s="25">
        <v>3.4354704412989174</v>
      </c>
      <c r="F3" s="25">
        <v>0.70158136371365409</v>
      </c>
      <c r="G3" s="34">
        <v>1.0800000000000001E-2</v>
      </c>
      <c r="H3" s="34">
        <v>0.1835</v>
      </c>
      <c r="I3" s="34">
        <v>2.6599999999999999E-2</v>
      </c>
      <c r="J3" s="18">
        <v>0.99</v>
      </c>
      <c r="K3" s="34">
        <v>7.2800000000000004E-2</v>
      </c>
      <c r="L3" s="34">
        <v>5.6000000000000001E-2</v>
      </c>
    </row>
    <row r="4" spans="1:12" x14ac:dyDescent="0.3">
      <c r="A4" s="13">
        <v>2018</v>
      </c>
      <c r="B4" s="25">
        <v>12.312435159020461</v>
      </c>
      <c r="C4" s="25">
        <v>0.94</v>
      </c>
      <c r="D4" s="25">
        <v>0.73566692667706712</v>
      </c>
      <c r="E4" s="25">
        <v>3.7831058649944671</v>
      </c>
      <c r="F4" s="25">
        <v>0.77234731530988776</v>
      </c>
      <c r="G4" s="34">
        <v>8.2100000000000003E-3</v>
      </c>
      <c r="H4" s="34">
        <v>0.13850000000000001</v>
      </c>
      <c r="I4" s="34">
        <v>2.7900000000000001E-2</v>
      </c>
      <c r="J4" s="25">
        <v>1</v>
      </c>
      <c r="K4" s="34">
        <v>7.8600000000000003E-2</v>
      </c>
      <c r="L4" s="34">
        <v>5.6000000000000001E-2</v>
      </c>
    </row>
    <row r="5" spans="1:12" x14ac:dyDescent="0.3">
      <c r="A5" s="13">
        <v>2019</v>
      </c>
      <c r="B5" s="25">
        <v>12.456481107992396</v>
      </c>
      <c r="C5" s="25">
        <v>0.94299999999999995</v>
      </c>
      <c r="D5" s="25">
        <v>0.72652689152233363</v>
      </c>
      <c r="E5" s="25">
        <v>3.6566666666666667</v>
      </c>
      <c r="F5" s="25">
        <v>0.75655172413793104</v>
      </c>
      <c r="G5" s="34">
        <v>5.5999999999999999E-3</v>
      </c>
      <c r="H5" s="34">
        <v>9.0300000000000005E-2</v>
      </c>
      <c r="I5" s="34">
        <v>2.8400000000000002E-2</v>
      </c>
      <c r="J5" s="18">
        <v>0.99</v>
      </c>
      <c r="K5" s="34">
        <v>8.2299999999999998E-2</v>
      </c>
      <c r="L5" s="34">
        <v>5.7000000000000002E-2</v>
      </c>
    </row>
    <row r="6" spans="1:12" x14ac:dyDescent="0.3">
      <c r="A6">
        <v>2020</v>
      </c>
      <c r="B6" s="18">
        <v>12.50346615891706</v>
      </c>
      <c r="C6" s="18">
        <v>0.93700000000000006</v>
      </c>
      <c r="D6" s="18">
        <v>0.51913147093869982</v>
      </c>
      <c r="E6" s="18">
        <v>2.079570484581498</v>
      </c>
      <c r="F6" s="18">
        <v>0.44400681911704193</v>
      </c>
      <c r="G6" s="35">
        <v>3.7000000000000002E-3</v>
      </c>
      <c r="H6" s="35">
        <v>5.8299999999999998E-2</v>
      </c>
      <c r="I6" s="35">
        <v>1.46E-2</v>
      </c>
      <c r="J6" s="18">
        <v>0.79</v>
      </c>
      <c r="K6" s="34">
        <v>3.4500000000000003E-2</v>
      </c>
      <c r="L6" s="34">
        <v>5.6899999999999999E-2</v>
      </c>
    </row>
    <row r="7" spans="1:12" x14ac:dyDescent="0.3">
      <c r="A7">
        <v>2021</v>
      </c>
      <c r="B7" s="18">
        <v>12.632976296995821</v>
      </c>
      <c r="C7" s="18">
        <v>0.93600000000000005</v>
      </c>
      <c r="D7" s="18">
        <v>0.57795442501324856</v>
      </c>
      <c r="E7" s="18">
        <v>2.3694123556002009</v>
      </c>
      <c r="F7" s="18">
        <v>0.48003052658356654</v>
      </c>
      <c r="G7" s="35">
        <v>1.03E-2</v>
      </c>
      <c r="H7" s="35">
        <v>0.16220000000000001</v>
      </c>
      <c r="I7" s="35">
        <v>2.24E-2</v>
      </c>
      <c r="J7" s="18">
        <v>0.98</v>
      </c>
      <c r="K7" s="34">
        <v>6.9400000000000003E-2</v>
      </c>
      <c r="L7" s="34">
        <v>5.5500000000000001E-2</v>
      </c>
    </row>
    <row r="8" spans="1:12" x14ac:dyDescent="0.3">
      <c r="A8">
        <v>2022</v>
      </c>
      <c r="B8" s="18">
        <v>12.775771711633636</v>
      </c>
      <c r="C8" s="18">
        <v>0.94</v>
      </c>
      <c r="D8" s="18">
        <v>0.64622300714457737</v>
      </c>
      <c r="E8" s="18">
        <v>2.8266394372589061</v>
      </c>
      <c r="F8" s="18">
        <v>0.58398574844123574</v>
      </c>
      <c r="G8" s="35">
        <v>7.1999999999999998E-3</v>
      </c>
      <c r="H8" s="35">
        <v>0.11559999999999999</v>
      </c>
      <c r="I8" s="35">
        <v>1.2999999999999999E-2</v>
      </c>
      <c r="J8" s="18">
        <v>0.74</v>
      </c>
      <c r="K8" s="34">
        <v>7.0999999999999994E-2</v>
      </c>
      <c r="L8" s="34">
        <v>7.6999999999999999E-2</v>
      </c>
    </row>
    <row r="9" spans="1:12" x14ac:dyDescent="0.3">
      <c r="A9">
        <v>2023</v>
      </c>
      <c r="B9" s="18">
        <v>12.819437709459788</v>
      </c>
      <c r="C9" s="18">
        <v>0.93500000000000005</v>
      </c>
      <c r="D9" s="18">
        <v>0.63664133512144239</v>
      </c>
      <c r="E9" s="18">
        <v>2.7521017018659011</v>
      </c>
      <c r="F9" s="18">
        <v>0.55679084045465854</v>
      </c>
      <c r="G9" s="35">
        <v>7.9000000000000008E-3</v>
      </c>
      <c r="H9" s="35">
        <v>0.12590000000000001</v>
      </c>
      <c r="I9" s="35">
        <v>1.9199999999999998E-2</v>
      </c>
      <c r="J9" s="18">
        <v>0.81</v>
      </c>
      <c r="K9" s="34">
        <v>5.7799999999999997E-2</v>
      </c>
      <c r="L9" s="34">
        <v>9.8799999999999999E-2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BA47-F332-4FB6-B3C5-BBCF9E942B6F}">
  <dimension ref="A1:J11"/>
  <sheetViews>
    <sheetView workbookViewId="0">
      <selection activeCell="E10" sqref="E10"/>
    </sheetView>
  </sheetViews>
  <sheetFormatPr defaultRowHeight="14.4" x14ac:dyDescent="0.3"/>
  <cols>
    <col min="1" max="1" width="12.33203125" bestFit="1" customWidth="1"/>
    <col min="2" max="2" width="9.21875" bestFit="1" customWidth="1"/>
    <col min="3" max="3" width="12.33203125" bestFit="1" customWidth="1"/>
  </cols>
  <sheetData>
    <row r="1" spans="1:10" ht="15" thickBot="1" x14ac:dyDescent="0.35">
      <c r="A1" s="50" t="s">
        <v>53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5" thickBot="1" x14ac:dyDescent="0.35">
      <c r="A2" s="37" t="s">
        <v>54</v>
      </c>
      <c r="B2" s="37" t="s">
        <v>55</v>
      </c>
      <c r="C2" s="37" t="s">
        <v>51</v>
      </c>
      <c r="D2" s="37" t="s">
        <v>52</v>
      </c>
      <c r="E2" s="37" t="s">
        <v>23</v>
      </c>
      <c r="F2" s="37" t="s">
        <v>56</v>
      </c>
      <c r="G2" s="37" t="s">
        <v>57</v>
      </c>
      <c r="H2" s="37" t="s">
        <v>58</v>
      </c>
      <c r="I2" s="37" t="s">
        <v>32</v>
      </c>
      <c r="J2" s="37" t="s">
        <v>48</v>
      </c>
    </row>
    <row r="3" spans="1:10" ht="15" thickBot="1" x14ac:dyDescent="0.35">
      <c r="A3" s="38" t="s">
        <v>55</v>
      </c>
      <c r="B3" s="39">
        <v>1</v>
      </c>
      <c r="C3" s="40"/>
      <c r="D3" s="40"/>
      <c r="E3" s="40"/>
      <c r="F3" s="40"/>
      <c r="G3" s="40"/>
      <c r="H3" s="40"/>
      <c r="I3" s="40"/>
      <c r="J3" s="40"/>
    </row>
    <row r="4" spans="1:10" ht="15" thickBot="1" x14ac:dyDescent="0.35">
      <c r="A4" s="38" t="s">
        <v>51</v>
      </c>
      <c r="B4" s="39">
        <v>-0.26850000000000002</v>
      </c>
      <c r="C4" s="39">
        <v>1</v>
      </c>
      <c r="D4" s="40"/>
      <c r="E4" s="40"/>
      <c r="F4" s="40"/>
      <c r="G4" s="40"/>
      <c r="H4" s="40"/>
      <c r="I4" s="40"/>
      <c r="J4" s="40"/>
    </row>
    <row r="5" spans="1:10" ht="15" thickBot="1" x14ac:dyDescent="0.35">
      <c r="A5" s="38" t="s">
        <v>52</v>
      </c>
      <c r="B5" s="39">
        <v>0.69089999999999996</v>
      </c>
      <c r="C5" s="39">
        <v>-0.1996</v>
      </c>
      <c r="D5" s="39">
        <v>1</v>
      </c>
      <c r="E5" s="40"/>
      <c r="F5" s="40"/>
      <c r="G5" s="40"/>
      <c r="H5" s="40"/>
      <c r="I5" s="40"/>
      <c r="J5" s="40"/>
    </row>
    <row r="6" spans="1:10" ht="15" thickBot="1" x14ac:dyDescent="0.35">
      <c r="A6" s="38" t="s">
        <v>23</v>
      </c>
      <c r="B6" s="39">
        <v>-0.6018</v>
      </c>
      <c r="C6" s="39">
        <v>0.64600000000000002</v>
      </c>
      <c r="D6" s="39">
        <v>-0.49609999999999999</v>
      </c>
      <c r="E6" s="39">
        <v>1</v>
      </c>
      <c r="F6" s="40"/>
      <c r="G6" s="40"/>
      <c r="H6" s="40"/>
      <c r="I6" s="40"/>
      <c r="J6" s="40"/>
    </row>
    <row r="7" spans="1:10" ht="15" thickBot="1" x14ac:dyDescent="0.35">
      <c r="A7" s="38" t="s">
        <v>56</v>
      </c>
      <c r="B7" s="39">
        <v>-0.73070000000000002</v>
      </c>
      <c r="C7" s="39">
        <v>0.67410000000000003</v>
      </c>
      <c r="D7" s="39">
        <v>-0.48970000000000002</v>
      </c>
      <c r="E7" s="39">
        <v>0.55500000000000005</v>
      </c>
      <c r="F7" s="39">
        <v>1</v>
      </c>
      <c r="G7" s="40"/>
      <c r="H7" s="40"/>
      <c r="I7" s="40"/>
      <c r="J7" s="40"/>
    </row>
    <row r="8" spans="1:10" ht="15" thickBot="1" x14ac:dyDescent="0.35">
      <c r="A8" s="38" t="s">
        <v>57</v>
      </c>
      <c r="B8" s="39">
        <v>-0.25330000000000003</v>
      </c>
      <c r="C8" s="39">
        <v>0.51980000000000004</v>
      </c>
      <c r="D8" s="39">
        <v>-6.0999999999999999E-2</v>
      </c>
      <c r="E8" s="39">
        <v>-1.3299999999999999E-2</v>
      </c>
      <c r="F8" s="39">
        <v>0.436</v>
      </c>
      <c r="G8" s="39">
        <v>1</v>
      </c>
      <c r="H8" s="40"/>
      <c r="I8" s="40"/>
      <c r="J8" s="40"/>
    </row>
    <row r="9" spans="1:10" ht="15" thickBot="1" x14ac:dyDescent="0.35">
      <c r="A9" s="38" t="s">
        <v>58</v>
      </c>
      <c r="B9" s="39">
        <v>-0.371</v>
      </c>
      <c r="C9" s="39">
        <v>0.53439999999999999</v>
      </c>
      <c r="D9" s="39">
        <v>-0.1101</v>
      </c>
      <c r="E9" s="39">
        <v>7.3899999999999993E-2</v>
      </c>
      <c r="F9" s="39">
        <v>0.49959999999999999</v>
      </c>
      <c r="G9" s="39">
        <v>0.99029999999999996</v>
      </c>
      <c r="H9" s="39">
        <v>1</v>
      </c>
      <c r="I9" s="40"/>
      <c r="J9" s="40"/>
    </row>
    <row r="10" spans="1:10" ht="15" thickBot="1" x14ac:dyDescent="0.35">
      <c r="A10" s="38" t="s">
        <v>32</v>
      </c>
      <c r="B10" s="39">
        <v>-0.67459999999999998</v>
      </c>
      <c r="C10" s="39">
        <v>0.63539999999999996</v>
      </c>
      <c r="D10" s="39">
        <v>-0.65</v>
      </c>
      <c r="E10" s="39">
        <v>0.4466</v>
      </c>
      <c r="F10" s="41">
        <v>0.94289999999999996</v>
      </c>
      <c r="G10" s="39">
        <v>0.5171</v>
      </c>
      <c r="H10" s="39">
        <v>0.55379999999999996</v>
      </c>
      <c r="I10" s="39">
        <v>1</v>
      </c>
      <c r="J10" s="40"/>
    </row>
    <row r="11" spans="1:10" x14ac:dyDescent="0.3">
      <c r="A11" s="42" t="s">
        <v>48</v>
      </c>
      <c r="B11" s="43">
        <v>-0.46789999999999998</v>
      </c>
      <c r="C11" s="43">
        <v>0.85440000000000005</v>
      </c>
      <c r="D11" s="43">
        <v>-0.1135</v>
      </c>
      <c r="E11" s="43">
        <v>0.74480000000000002</v>
      </c>
      <c r="F11" s="43">
        <v>0.74570000000000003</v>
      </c>
      <c r="G11" s="43">
        <v>0.35299999999999998</v>
      </c>
      <c r="H11" s="43">
        <v>0.41930000000000001</v>
      </c>
      <c r="I11" s="43">
        <v>0.58030000000000004</v>
      </c>
      <c r="J11" s="43">
        <v>1</v>
      </c>
    </row>
  </sheetData>
  <mergeCells count="1">
    <mergeCell ref="A1:J1"/>
  </mergeCells>
  <conditionalFormatting sqref="B3:J11">
    <cfRule type="colorScale" priority="1">
      <colorScale>
        <cfvo type="min"/>
        <cfvo type="percentile" val="50"/>
        <cfvo type="max"/>
        <color theme="4" tint="0.59999389629810485"/>
        <color rgb="FFFF9797"/>
        <color rgb="FFFA6E48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Ahasanul Rahat</cp:lastModifiedBy>
  <dcterms:created xsi:type="dcterms:W3CDTF">2025-05-11T16:37:28Z</dcterms:created>
  <dcterms:modified xsi:type="dcterms:W3CDTF">2025-05-30T14:18:26Z</dcterms:modified>
</cp:coreProperties>
</file>